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AF5C365C57B22B54659E166CCE601EE9FA55ADC8" xr6:coauthVersionLast="47" xr6:coauthVersionMax="47" xr10:uidLastSave="{00000000-0000-0000-0000-000000000000}"/>
  <bookViews>
    <workbookView xWindow="0" yWindow="0" windowWidth="16384" windowHeight="8192" tabRatio="500" firstSheet="1" activeTab="1" xr2:uid="{00000000-000D-0000-FFFF-FFFF00000000}"/>
  </bookViews>
  <sheets>
    <sheet name="Uitleg" sheetId="1" r:id="rId1"/>
    <sheet name="Backlog" sheetId="2" r:id="rId2"/>
    <sheet name="Overzicht" sheetId="3" r:id="rId3"/>
    <sheet name="Labels" sheetId="4" r:id="rId4"/>
  </sheets>
  <definedNames>
    <definedName name="_xlnm._FilterDatabase" localSheetId="1" hidden="1">Backlog!$A$1:$Q$125</definedName>
  </definedNames>
  <calcPr calcId="0" fullCalcOnLoad="1"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4" i="3" l="1"/>
  <c r="B23" i="3"/>
  <c r="B22" i="3"/>
  <c r="C15" i="3"/>
  <c r="B15" i="3"/>
  <c r="C14" i="3"/>
  <c r="B14" i="3"/>
  <c r="C13" i="3"/>
  <c r="B13" i="3"/>
  <c r="C12" i="3"/>
  <c r="B12" i="3"/>
  <c r="C11" i="3"/>
  <c r="B11" i="3"/>
  <c r="C10" i="3"/>
  <c r="B10" i="3"/>
  <c r="C9" i="3"/>
  <c r="B9" i="3"/>
  <c r="C8" i="3"/>
  <c r="B8" i="3"/>
  <c r="C7" i="3"/>
  <c r="B7" i="3"/>
  <c r="C6" i="3"/>
  <c r="B6" i="3"/>
  <c r="C5" i="3"/>
  <c r="B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100-000001000000}">
      <text>
        <r>
          <rPr>
            <sz val="11"/>
            <color theme="1"/>
            <rFont val="Calibri"/>
            <family val="2"/>
            <charset val="1"/>
          </rPr>
          <t>Persoonsuren, alleen op sub-tasks (meeting van 1 uur met 4 personen = 4).</t>
        </r>
      </text>
    </comment>
    <comment ref="N1" authorId="0" shapeId="0" xr:uid="{00000000-0006-0000-0100-000002000000}">
      <text>
        <r>
          <rPr>
            <sz val="11"/>
            <color theme="1"/>
            <rFont val="Calibri"/>
            <family val="2"/>
            <charset val="1"/>
          </rPr>
          <t>Gele cellen: naam invullen in de sprintplanning!</t>
        </r>
      </text>
    </comment>
    <comment ref="P1" authorId="0" shapeId="0" xr:uid="{00000000-0006-0000-0100-000003000000}">
      <text>
        <r>
          <rPr>
            <sz val="11"/>
            <color theme="1"/>
            <rFont val="Calibri"/>
            <family val="2"/>
            <charset val="1"/>
          </rPr>
          <t>Nee = telt niet mee in de totalen op Overzicht (bv. de variant die je niet bouwt, of stretch-taken die je schrapt).</t>
        </r>
      </text>
    </comment>
  </commentList>
</comments>
</file>

<file path=xl/sharedStrings.xml><?xml version="1.0" encoding="utf-8"?>
<sst xmlns="http://schemas.openxmlformats.org/spreadsheetml/2006/main" count="1163" uniqueCount="487">
  <si>
    <t>Scrumboard DS2a (designsprint 2, eerste helft): voorbereiding Jira</t>
  </si>
  <si>
    <t>EVEN NOTITIE: aangezien we in onze sprint EN een keuze willen maken voor concept EN een prototype willen maken referreer ik naar "DS2A" als "DeelSprint 2 A" als in de eerste helft van de sprint.</t>
  </si>
  <si>
    <t>oh en DS2B als deelsprint 2 B (tweede helft)</t>
  </si>
  <si>
    <t>Tabbladen</t>
  </si>
  <si>
    <t>Backlog: alle epics, tickets en sub-tasks (voor de import)</t>
  </si>
  <si>
    <t>Overzicht: story points + uren per epic, plus de capaciteitscheck voor eerstge heflt van de sprint</t>
  </si>
  <si>
    <t>Labels: alle labels + waarvoor ze zijn.</t>
  </si>
  <si>
    <t>Wat moet je invullen?</t>
  </si>
  <si>
    <t>Gele cellen:  de capaciteits-aannames op Overzicht.</t>
  </si>
  <si>
    <t>Telt mee: op Nee zetten voor werk dat we schrappen of naar de tweeede helft van sprint 2 schuiven; dan klopt het totaal weer.</t>
  </si>
  <si>
    <t>Schattingen, prioriteit en due dates = voorstellen! Samen aanpassen in de sprintplanning.</t>
  </si>
  <si>
    <t>Kolommen voor de Jira-import</t>
  </si>
  <si>
    <t>Kolomnamen (Summary, Issue Type, Priority, Labels, Due Date, Story Points, Sprint, Assignee) = de Jira-veldnamen, zodat koppelen bij het importeren makkelijk gaat.</t>
  </si>
  <si>
    <t>Issue Id + Parent Id = de structuur (Epic → Task). GEEN sub-tasks meer: team-managed Jira laat sub-tasks niet los slepen tussen kolommen op het bord, dus elke oude Task/Story is nu zelf een Epic, en elke oude Sub-task is nu een Task. Deze nummers NIET aanpassen; nieuwe rij = nieuw, uniek nummer.</t>
  </si>
  <si>
    <t>Ref, Epic, Telt mee en Notitie zijn alleen voor ons (niet importeren).</t>
  </si>
  <si>
    <t>Original Estimate staat in uren; Jira wil bij een CSV-import vaak seconden (omzetten doen we bij het maken van de CSV).</t>
  </si>
  <si>
    <t>Labels staan met een spatie ertussen in één cel; misschien moeten ze over meerdere kolommen (hangt af van de import-instellingen, ook regelen bij de CSV).</t>
  </si>
  <si>
    <t>Voorbeeld van een ingevulde rij (task)</t>
  </si>
  <si>
    <t>Ref</t>
  </si>
  <si>
    <t>Issue Id</t>
  </si>
  <si>
    <t>Parent Id</t>
  </si>
  <si>
    <t>Issue Type</t>
  </si>
  <si>
    <t>Summary</t>
  </si>
  <si>
    <t>Sprint</t>
  </si>
  <si>
    <t>Original Estimate (uren)</t>
  </si>
  <si>
    <t>Priority</t>
  </si>
  <si>
    <t>Due Date</t>
  </si>
  <si>
    <t>Assignee</t>
  </si>
  <si>
    <t>Telt mee</t>
  </si>
  <si>
    <t>S2-08.2</t>
  </si>
  <si>
    <t>(automatisch)</t>
  </si>
  <si>
    <t>(Issue Id van S2-08)</t>
  </si>
  <si>
    <t>Task</t>
  </si>
  <si>
    <t>Interviewguide</t>
  </si>
  <si>
    <t>DS2a</t>
  </si>
  <si>
    <t>Highest</t>
  </si>
  <si>
    <t>08-10-2026</t>
  </si>
  <si>
    <t>Maryam</t>
  </si>
  <si>
    <t>Ja</t>
  </si>
  <si>
    <t>Label "thema-..." op elk ticket = het oude epic-thema (bv. thema-sprint1-afronden). Gebruikt in Overzicht i.p.v. het Epic-veld, voor de capaciteits-rollup per thema, nu Epic weer leeg/anders gebruikt wordt.</t>
  </si>
  <si>
    <t>Description</t>
  </si>
  <si>
    <t>Epic</t>
  </si>
  <si>
    <t>Story Points</t>
  </si>
  <si>
    <t>Labels</t>
  </si>
  <si>
    <t>Status</t>
  </si>
  <si>
    <t>Notitie</t>
  </si>
  <si>
    <t>S2-01</t>
  </si>
  <si>
    <t>Onderzoeksplan v1.0 afmaken + inleveren</t>
  </si>
  <si>
    <t>Waarom: het onderzoeksplan is de basis van alles deze sprint, en de go/no-go van de docent hangt ervan af. Deelvragen, analyse-aanpak, kwaliteitscriteria en risico's zijn al gedaan in v0.6 (2-10); wat overblijft: de open opmerkingen in de andere hoofdstukken, de feedback van stakeholderbijeenkomst 1, en inleveren.
Let op: volgens het lesoverzicht sluit het inleveren van de definitieve versie in week 44 (nog navragen bij de docent of dat klopt!). Wij mikken op af vóór de herfstvakantie.
Acceptatiecriteria: alle open opmerkingen afgehandeld of bewust geparkeerd; feedback van 1 okt in het feedbacklog met reactie; hoofdvraag compleet; literatuurlijst gevuld; Word-versie = markdown; versie 1.0 ingeleverd.</t>
  </si>
  <si>
    <t>documentatie op1 op2 op3 thema-sprint1-afronden</t>
  </si>
  <si>
    <t>To Do</t>
  </si>
  <si>
    <t>S2-01.1</t>
  </si>
  <si>
    <t>Feedback feedbacksessie (17-9) + stakeholderbijeenkomst 1 (1-10) in feedbacklog zetten, per punt een reactie</t>
  </si>
  <si>
    <t>Wat: alle feedback van de feedbacksessie (17-9) en stakeholderbijeenkomst 1 (1-10) in het feedbacklog, per punt: overgenomen / aangepast / geparkeerd + reden.
Waarom: feedback telt alleen als zichtbaar is wat we ermee deden (PR4); de notulen van allebei staan nu in de map 28-9 tot 4-10.</t>
  </si>
  <si>
    <t>thema-sprint1-afronden</t>
  </si>
  <si>
    <t>S2-01.2</t>
  </si>
  <si>
    <t>Hoofdvraag afmaken + afstemmen op doelstelling en aantal contactmomenten</t>
  </si>
  <si>
    <t>Hoofdvraag afmaken en vaststellen; ook checken of hij past bij de doelstelling en de contactmomenten.
Waarom: zonder complete hoofdvraag is het plan niet af (OP1).</t>
  </si>
  <si>
    <t>S2-01.3</t>
  </si>
  <si>
    <t>Bronvermelding notulen 23-9 en citaten opdrachtgever in de inleiding</t>
  </si>
  <si>
    <t>Wat: bij de aanleiding de notulen van 23-9 als bron noemen, ook voor de citaten ("slecht en bagger", "waardeloos") en de Infra-instroom.
Waarom: zo is zichtbaar dat we ons baseren op oriënterend onderzoek in het veld (OP1 voldoende).</t>
  </si>
  <si>
    <t>S2-01.4</t>
  </si>
  <si>
    <t>Theoretisch kader uitschrijven</t>
  </si>
  <si>
    <t xml:space="preserve">Wat: het theoretisch kader uitschrijven: de begrippen die we gebruiken (bv. doelgroepsegmentatie, co-creatie, AI/ML) met definitie + bron.
Waarom: Ik heerinner dat Karlijn er iets over gezegd had, ik weet de details niet meer, dus verbeter deze ticket graag; </t>
  </si>
  <si>
    <t>S2-01.5</t>
  </si>
  <si>
    <t xml:space="preserve"> "3 momenten" in de aanleiding afhandelen</t>
  </si>
  <si>
    <t>Wat: Bart vroeg of de zin over "3 momenten" moet blijven; samen beslissen (het zijn er eigenlijk 4) en aanpassen.
Waarom: open opmerking, en de aanleiding moet kloppen met de rest van het plan.</t>
  </si>
  <si>
    <t>S2-01.6</t>
  </si>
  <si>
    <t>Literatuurlijst invullen (alle bronnen uit het plan,  APA)</t>
  </si>
  <si>
    <t>Wat: alle gebruikte bronnen (lesmateriaal, notulen, rubrics, deskresearch) in één stijl in de literatuurlijst.
Waarom: de lijst is nu nog leeg, en bronnen moeten controleerbaar zijn.</t>
  </si>
  <si>
    <t>S2-01.7</t>
  </si>
  <si>
    <t>Deelvragen toetsen</t>
  </si>
  <si>
    <t>Wat: de verbeterede deelvragen toetsen voor bruikbaarheid.
Waarom: Zonder deelvragen kunnen we de hoofdvraag niet goed beantwoorden</t>
  </si>
  <si>
    <t>S2-01.8</t>
  </si>
  <si>
    <t>Laatste check tegen de rubric onderzoeksplan (OP1–OP3) door een teamgenoot</t>
  </si>
  <si>
    <t>Wat: iemand die het niet zelf schreef leest het plan na met de rubric onderzoeksplan ernaast (OP1–OP3).
Waarom: een frisse blik vangt wat wij missen, en het is meteen "constructief kritisch op andermans werk" (PR2).</t>
  </si>
  <si>
    <t>S2-01.9</t>
  </si>
  <si>
    <t>Navragen bij docent: wanneer + waar inleveren?</t>
  </si>
  <si>
    <t>Wat: navragen of de definitieve versie in week 44 ingeleverd moet worden (zo staat het in het lesoverzicht), en waar/hoe.
Waarom: de deadline is onduidelijk; liever niet gokken!</t>
  </si>
  <si>
    <t>S2-01.10</t>
  </si>
  <si>
    <t>Versiebeheer naar 1.0 + inleveren</t>
  </si>
  <si>
    <t>Wat: versie 1.0 in het versiebeheer zetten en inleveren.
Waarom: afronding van het plan; daarna krijgen alleen grotere updates een nieuw versienummer.</t>
  </si>
  <si>
    <t>S2-02</t>
  </si>
  <si>
    <t>Sprintreview &amp; retro designsprint 1 vastleggen</t>
  </si>
  <si>
    <t>Waarom: het resultaat van een sprint = de herformuleerde focus voor de volgende; moet zichtbaar zijn in de DR (design rationale)! (volgens de kickoff, kan het niet in de rubriek vinden :( )
Acceptatiecriteria: DR-blok sprint 1 met sprintdoel, resultaten, waarde voor het doel, retropunten + focus voor sprint 2.</t>
  </si>
  <si>
    <t>High</t>
  </si>
  <si>
    <t>proces pr2 del-designrationale thema-sprint1-afronden</t>
  </si>
  <si>
    <t>S2-02.1</t>
  </si>
  <si>
    <t>Retro (start/stop/continue), hele team</t>
  </si>
  <si>
    <t>Wat: met het hele team terugkijken op sprint 1: waar starten we mee, stoppen we mee, gaan we mee door?
Waarom: teamevaluatie hoort bij elke designsprint, en levert verbeterpunten voor DS2a.</t>
  </si>
  <si>
    <t>S2-02.2</t>
  </si>
  <si>
    <t>Sprintreview-blok sprint 1 in de DR schrijven</t>
  </si>
  <si>
    <t>Wat: in de DR een blok voor sprint 1: sprintdoel, resultaten, waarde voor het doel, focus voor sprint 2.
Waarom: de DR bouwen we per sprint op, niet pas achteraf.</t>
  </si>
  <si>
    <t>S2-02.3</t>
  </si>
  <si>
    <t>Retropunten omzetten naar concrete afspraken/tickets</t>
  </si>
  <si>
    <t>Wat: elk retropunt wordt een afspraak of een ticket.
Waarom: anders blijft het bij praten en verandert er niks.</t>
  </si>
  <si>
    <t>S2-03</t>
  </si>
  <si>
    <t>Openstaande actiepunten opdrachtgever (23-9) afhandelen</t>
  </si>
  <si>
    <t>Waarom: staan al sinds 23-9 open (oeps); input voor de concepttoets (instroomcijfers) en de bestaande toepassingen (data-games).</t>
  </si>
  <si>
    <t>Medium</t>
  </si>
  <si>
    <t>stakeholder pr3 blocked-extern deelvraag-1 thema-sprint1-afronden</t>
  </si>
  <si>
    <t>S2-03.1</t>
  </si>
  <si>
    <t>Instroomcijfers van Arnoud checken: bruikbaar? Meer nodig?</t>
  </si>
  <si>
    <t>Wat: Arnoud heeft de instroomcijfers al gestuurd; checken of ze bruikbaar zijn voor de analyse (S2-43) en of we nog iets missen. Zo ja: gericht nog opvragen.
Waarom: we willen het probleem met cijfers onderbouwen, maar alleen als de data ook echt antwoord geeft op onze vragen.</t>
  </si>
  <si>
    <t>S2-03.2</t>
  </si>
  <si>
    <t>Curriculum-briefing (Teams, dinsdagmiddag) inplannen met opdrachtgever</t>
  </si>
  <si>
    <t>Wat: een online sessie plannen (bij voorkeur dinsdagmiddag) waarin de opdrachtgever het 2e jaar Data &amp; AI uitlegt.
Waarom: input voor deelvraag 1: wat houdt Data &amp; AI eigenlijk in?</t>
  </si>
  <si>
    <t>S2-03.3</t>
  </si>
  <si>
    <t>Contact Erwin Volmering (Lectoraat iWDT)</t>
  </si>
  <si>
    <t>Wat: contact zoeken met Erwin Volmering van het lectoraat iWDT.
Waarom: actiepunt uit het gesprek van 23-9; mogelijk expert/bron voor onze concepten.</t>
  </si>
  <si>
    <t>S2-03.4</t>
  </si>
  <si>
    <t>Bestaande data-games (Aliander, CMD) opvragen</t>
  </si>
  <si>
    <t>Wat: vragen naar de bestaande data-games die met Aliander en CMD gemaakt zijn.
Waarom: input voor de analyse van bestaande toepassingen (S2-04).</t>
  </si>
  <si>
    <t>S2-03.5</t>
  </si>
  <si>
    <t>Curriculum-briefing bijwonen + notulen</t>
  </si>
  <si>
    <t>Wat: de curriculum-briefing bijwonen en notuleren.
Waarom: geeft antwoord op deelvraag 1 en is meteen een bron.</t>
  </si>
  <si>
    <t>S2-04</t>
  </si>
  <si>
    <t>Analyse bestaande toepassingen</t>
  </si>
  <si>
    <t>Waarom: de rubric wil dat het plan start vanuit een analyse van een bestaande toepassing, en die missen we nog! Input voor alle drie de concepten (wat werkt wel/niet bij werving?).
Acceptatiecriteria: per toepassing: wat is het, wat werkt/werkt niet, welke vraag levert het ons op; staat in het onderzoeksplan.</t>
  </si>
  <si>
    <t>onderzoek deelvraag-4 op1 et1-kennis concept-algemeen thema-sprint1-afronden</t>
  </si>
  <si>
    <t>S2-04.1</t>
  </si>
  <si>
    <t>'Hack je gek' (Infra) bekijken/navragen: opzet, waarom werkte het wel voor de instroom?</t>
  </si>
  <si>
    <t>Wat: uitzoeken hoe 'Hack je gek' van Infra werkt en waarom het daar wél meer instroom gaf.
Waarom: een succesvol bestaand voorbeeld; wat kunnen we ervan leren?</t>
  </si>
  <si>
    <t>S2-04.2</t>
  </si>
  <si>
    <t>Huidige Data &amp; AI-workshop analyseren ("waardeloos" volgens opdrachtgever: maar waarom precies?)</t>
  </si>
  <si>
    <t>Wat: de huidige Data &amp; AI-workshop bekijken en uitzoeken WAAROM die niet werkt.
Waarom: zo maken wij niet dezelfde fouten.</t>
  </si>
  <si>
    <t>S2-04.3</t>
  </si>
  <si>
    <t>Data-games Aliander/CMD + 1–2 externe voorbeelden (deskresearch) (als ie er zijn !!)</t>
  </si>
  <si>
    <t>Wat: de data-games van Aliander/CMD bekijken + 1–2 voorbeelden van buiten de HAN zoeken.
Waarom: breder beeld van wat er al bestaat.</t>
  </si>
  <si>
    <t>S2-04.4</t>
  </si>
  <si>
    <t>Analyse uitschrijven in het onderzoeksplan + sources</t>
  </si>
  <si>
    <t>Wat: de analyse als paragraaf in het onderzoeksplan zetten, met bronnen.
Waarom: de rubric wil dat het plan start vanuit een analyse van bestaande toepassingen.</t>
  </si>
  <si>
    <t>S2-04.5</t>
  </si>
  <si>
    <t>Hoe werven andere hogescholen voor Data &amp; AI? (1–2 voorbeelden)</t>
  </si>
  <si>
    <t>Wat: 1–2 voorbeelden zoeken van hoe andere hogescholen werven voor Data &amp; AI (of vergelijkbare richtingen).
Waarom: vraag uit de feedbacksessie (17-9): zijn de ideeën evidence based, en hoe doen andere opleidingen het?</t>
  </si>
  <si>
    <t>S2-52</t>
  </si>
  <si>
    <t>Selectie 48 ideeën → 3 concepten vastleggen in het beslissingenlog</t>
  </si>
  <si>
    <t>Waarom: vraag uit de feedbacksessie (17-9): "waarom zijn deze drie de beste, waarom zijn de andere 45 afgevallen?" Die keuze staat nu nergens vastgelegd.
Acceptatiecriteria: in het beslissingenlog staat hoe we van 48 naar 3 kwamen (criteria, afgevallen ideeën + waarom), met foto's van de brainstorm/crazy eights.</t>
  </si>
  <si>
    <t>documentatie op1 pr1 thema-sprint1-afronden</t>
  </si>
  <si>
    <t>S2-52.1</t>
  </si>
  <si>
    <t>Foto's van brainstorm/crazy eights verzamelen</t>
  </si>
  <si>
    <t>Wat: de foto's van de 48 ideeën (brainstorm, crazy eights) bij elkaar zoeken.
Waarom: bewijs van het proces, nodig voor het beslissingenlog en de DR.</t>
  </si>
  <si>
    <t>S2-52.2</t>
  </si>
  <si>
    <t>Selectiecriteria reconstrueren + in beslissingenlog zetten</t>
  </si>
  <si>
    <t>Wat: opschrijven op welke criteria we van 48 naar 3 gingen, en welke ideeën afvielen en waarom.
Waarom: zo kunnen we de vraag "waarom deze drie?" onderbouwd beantwoorden.</t>
  </si>
  <si>
    <t>S2-05</t>
  </si>
  <si>
    <t>Jira omgeving…uhm..klaar maken? Ik weet niet veel, maar ik zet het er voor de zekerheid bij</t>
  </si>
  <si>
    <t>Waarom: het board zelf zijn we nu al aan het inrichten; wat nog wel moet is vastleggen wanneer een ticket Ready/Done is, zodat iedereen hetzelfde bedoelt met "klaar" (PR2). De toolkeuze in het beslissingenlog zetten is S2-06.</t>
  </si>
  <si>
    <t>proces pr2 thema-proces-jira</t>
  </si>
  <si>
    <t>S2-05.3</t>
  </si>
  <si>
    <t>DoR/DoD en werkafspraken in projectbeschrijving</t>
  </si>
  <si>
    <t>Wat: de DoR, DoD en werkafspraken in de projectbeschrijving in Jira zetten.
Waarom: zo weet iedereen wanneer iets "klaar" is.</t>
  </si>
  <si>
    <t>thema-proces-jira</t>
  </si>
  <si>
    <t>S2-06</t>
  </si>
  <si>
    <t>Toolkeuze Jira vastleggen in het beslissingenlog</t>
  </si>
  <si>
    <t>Waarom: de onderbouwing staat al in Tools-Vergelijking-DTI.md (sectie "Beslissing": Jira + Confluence, 63/90, iedereen heeft er ervaring mee); moet alleen nog als beslissing in het beslissingenlog, met datum + wie besloten heeft.</t>
  </si>
  <si>
    <t>proces documentatie pr2 thema-proces-jira</t>
  </si>
  <si>
    <t>S2-06.1</t>
  </si>
  <si>
    <t>Beslissing uit de tools-vergelijking overnemen in het beslissingenlog (+ datum/namen invullen)</t>
  </si>
  <si>
    <t>Wat: de beslissing uit de tools-vergelijking (Jira + Confluence) in het beslissingenlog zetten, met datum en wie besloten heeft.
Waarom: beslissingen tellen alleen als ze vastgelegd zijn, met alternatieven + waarom.</t>
  </si>
  <si>
    <t>S2-44</t>
  </si>
  <si>
    <t>Doelgroep bereiken: testpersonen en toetsmomenten regelen</t>
  </si>
  <si>
    <t>Waarom: zonder doelgroep kunnen we niks toetsen = grootste risico van de eerste twee weken! Daarom een eigen ticket, zodat je op het board ziet of het geregeld is. Nodig voor de concepttoets (S2-10), de co-creatiesessie (S2-46) en de prototypetest (S2-28).
Acceptatiecriteria: overzicht wie / wanneer / waar / hoeveel personen; minimaal één afspraak met eerstejaars en één met scholieren vóór 15 okt.</t>
  </si>
  <si>
    <t>onderzoek stakeholder mbo havo-vwo propedeuse blocked-extern pr3 thema-doelgroeponderzoek</t>
  </si>
  <si>
    <t>S2-44.1</t>
  </si>
  <si>
    <t>Excel schoolvoorlichtingen (Teams) doorlopen en aanhaken waar het kan</t>
  </si>
  <si>
    <t>Wat: in de Excel met schoolvoorlichtingen (Teams) kijken waar we kunnen aanhaken.
Waarom: echte scholieren in een echte setting.</t>
  </si>
  <si>
    <t>thema-doelgroeponderzoek</t>
  </si>
  <si>
    <t>S2-44.2</t>
  </si>
  <si>
    <t>Eerstejaarsgroep(en) regelen via de opdrachtgever</t>
  </si>
  <si>
    <t>Wat: via de opdrachtgever een of meer eerstejaarsgroepen regelen.
Waarom: eerstejaars zijn makkelijk bereikbaar en ook doelgroep (keuzemoment).</t>
  </si>
  <si>
    <t>S2-44.3</t>
  </si>
  <si>
    <t>Eigen netwerk benaderen (oude school, MBO-contacten, broertjes/zusjes)</t>
  </si>
  <si>
    <t>Wat: mensen uit ons eigen netwerk benaderen (oude school, MBO-contacten, broertjes/zusjes).
Waarom: back-up als de schoolvoorlichtingen niet lukken.</t>
  </si>
  <si>
    <t>S2-44.4</t>
  </si>
  <si>
    <t>Overzicht testpersonen + momenten bijhouden (zonder persoonsgegevens)</t>
  </si>
  <si>
    <t>Wat: bijhouden wie/wanneer/waar/hoeveel, zonder namen of andere persoonsgegevens.
Waarom: overzicht voor het team, en nodig voor de privacy-afspraken.</t>
  </si>
  <si>
    <t>S2-08</t>
  </si>
  <si>
    <t>Toetsplan opstellen</t>
  </si>
  <si>
    <t>Waarom: welk concept het beste werkt weten we nog NIET; wat wij en de opdrachtgever ervan vinden is alleen ons beeld. Eerst checken bij de doelgroep zelf!
Acceptatiecriteria: aannamelijst, vragen, methode, doelgroep + aantal deelnemers, analyse-aanpak en planning op papier; hele team heeft het gezien.</t>
  </si>
  <si>
    <t>onderzoek deelvraag-2 deelvraag-3 op2 concept-algemeen thema-doelgroeponderzoek</t>
  </si>
  <si>
    <t>S2-08.1</t>
  </si>
  <si>
    <t>Aannamelijst per concept (trein, AI-huisdier, biometrie): wat denkt de opdrachtgever / wat denken wij / wat moeten we bij de doelgroep toetsen</t>
  </si>
  <si>
    <t>Wat: per concept opschrijven wat de opdrachtgever denkt, wat wij denken en wat we bij de doelgroep willen checken.
Waarom: zo toetsen we aannames i.p.v. alleen meningen te verzamelen.</t>
  </si>
  <si>
    <t>Interviewguide (begrip van Data &amp; AI vóór/na, reactie op de concepten, zelf iets maken)</t>
  </si>
  <si>
    <t>Wat: een vaste lijst interviewvragen (begrip van Data &amp; AI vóór/na, reactie op de concepten, zin om zelf iets te maken).
Waarom: iedereen stelt dezelfde vragen = betrouwbaarder.</t>
  </si>
  <si>
    <t>S2-08.3</t>
  </si>
  <si>
    <t>Korte enquête (bv. 5 vragen, ook bruikbaar op open dag)</t>
  </si>
  <si>
    <t>Wat: een korte enquête (± 5 vragen) die ook op de open dag te gebruiken is.
Waarom: snel een breder beeld dan alleen interviews.</t>
  </si>
  <si>
    <t>S2-08.4</t>
  </si>
  <si>
    <t>Analyse-aanpak vastleggen (labelen + in thema's clusteren, per doelgroep vergelijken)</t>
  </si>
  <si>
    <t>Wat: vooraf afspreken hoe we de resultaten analyseren (labelen, in thema's clusteren, per doelgroep vergelijken).
Waarom: de rubric vraagt een analyse-aanpak, en zo kijken we achteraf niet alleen naar wat we wilden zien.</t>
  </si>
  <si>
    <t>S2-09</t>
  </si>
  <si>
    <t>Low-fi toetsmateriaal maken voor alle drie de concepten</t>
  </si>
  <si>
    <t>Waarom: om echt te kunnen kiezen moeten de drie concepten op dezelfde manier getoetst worden (zelfde format, zelfde detail), anders is het geen eerlijke vergelijking.</t>
  </si>
  <si>
    <t>ontwerp prototype concept-trein concept-aihuisdier concept-biometrie pr1 thema-doelgroeponderzoek</t>
  </si>
  <si>
    <t>S2-09.1</t>
  </si>
  <si>
    <t>Storyboard trein (6–8 frames, zelfde format)</t>
  </si>
  <si>
    <t>Wat: storyboard van de trein (6–8 frames).
Waarom: om het concept eerlijk naast de andere twee te kunnen leggen.</t>
  </si>
  <si>
    <t>S2-09.2</t>
  </si>
  <si>
    <t>Storyboard AI-huisdier/decision tree builder (6–8 frames, zelfde format)</t>
  </si>
  <si>
    <t>Wat: storyboard van het AI-huisdier/de decision tree builder, in hetzelfde format.
Waarom: zelfde detail als de andere twee = eerlijke vergelijking.</t>
  </si>
  <si>
    <t>S2-09.3</t>
  </si>
  <si>
    <t>Storyboard biometrische data-poster (6–8 frames, zelfde format)</t>
  </si>
  <si>
    <t>Wat: storyboard van de biometrische data-poster, in hetzelfde format.
Waarom: zelfde detail als de andere twee = eerlijke vergelijking.</t>
  </si>
  <si>
    <t>S2-10</t>
  </si>
  <si>
    <t>Doelgroeptest 1: concepttoets uitvoeren</t>
  </si>
  <si>
    <t>Wat: de storyboards van de drie concepten voorleggen aan eerstejaars en scholieren, met interview + enquête.
Waarom: dit is de data waarop we kiezen; zonder toets kiezen we op onderbuikgevoel.
Acceptatiecriteria: minimaal 2 doelgroepen gesproken (bv. ≥ 5 eerstejaars + ≥ 5 scholieren); toestemming geregeld; ruwe notities/opnames opgeslagen.</t>
  </si>
  <si>
    <t>onderzoek test deelvraag-2 deelvraag-3 mbo havo-vwo propedeuse thema-doelgroeponderzoek</t>
  </si>
  <si>
    <t>S2-10.1</t>
  </si>
  <si>
    <t>Sessies uitvoeren (2 personen per sessie)</t>
  </si>
  <si>
    <t>Wat: toetssessies houden met de storyboards, interviewguide en enquête; altijd met z'n tweeën (één vraagt, één noteert).
Waarom: twee personen = betrouwbaardere notities.</t>
  </si>
  <si>
    <t>S2-10.2</t>
  </si>
  <si>
    <t>Notities uitwerken + foto's maken (met toestemming)</t>
  </si>
  <si>
    <t>Wat: notities dezelfde dag uitwerken en foto's maken (met toestemming).
Waarom: vers uitwerken = niks vergeten; foto's zijn nodig voor de DR.</t>
  </si>
  <si>
    <t>S2-11</t>
  </si>
  <si>
    <t>Toetsresultaten analyseren</t>
  </si>
  <si>
    <t>Waarom: van ruwe notities naar inzichten per doelgroep en per concept; input voor de beslismatrix en het beslismoment.
Acceptatiecriteria: gelabelde resultaten, top-inzichten per doelgroep, getoetste vs. niet-getoetste aannames, conclusie per concept.</t>
  </si>
  <si>
    <t>onderzoek deelvraag-2 deelvraag-3 op2 op3 thema-doelgroeponderzoek</t>
  </si>
  <si>
    <t>S2-11.1</t>
  </si>
  <si>
    <t>Labelen + in thema's clusteren (samen, op whiteboard/Miro/whatever)</t>
  </si>
  <si>
    <t>Wat: alle antwoorden labelen en samen in thema's clusteren (whiteboard/Miro).
Waarom: zo zien we patronen i.p.v. losse meningen.</t>
  </si>
  <si>
    <t>S2-11.2</t>
  </si>
  <si>
    <t>Vergelijking per doelgroep + aannamelijst bijwerken (getoetst/nog te toetsen)</t>
  </si>
  <si>
    <t>Wat: per doelgroep vergelijken, en bij elke aanname noteren: getoetst / nog te toetsen.
Waarom: laat zien wat we nu ECHT weten.</t>
  </si>
  <si>
    <t>S2-11.3</t>
  </si>
  <si>
    <t>Conclusie uitschrijven voor het beslismoment</t>
  </si>
  <si>
    <t>Wat: een korte conclusie per concept voor het beslismoment.
Waarom: input voor de beslismatrix (S2-13).</t>
  </si>
  <si>
    <t>S2-11.4</t>
  </si>
  <si>
    <t>Per concept noteren welke doelgroep het het meest aanspreekt</t>
  </si>
  <si>
    <t>Wat: per concept bijhouden of het vooral MBO, havo, vwo of propedeuse aanspreekt.
Waarom: feedback stakeholders (1-10): de doelgroep is nog niet vastgesteld, en elk concept spreekt misschien een andere groep aan (bv. trein vs. zorgcontext/biometrie).</t>
  </si>
  <si>
    <t>S2-12</t>
  </si>
  <si>
    <t>Persona's / empathy maps bijwerken</t>
  </si>
  <si>
    <t>Wat: per doelgroep (MBO, HAVO/VWO, propedeuse) een persona of empathy map op basis van wat we in de toets hoorden.
Waarom: duidelijk beeld van voor wie we ontwerpen (deelvraag 2), en handig om aan stakeholders te laten zien.</t>
  </si>
  <si>
    <t>ontwerp mbo havo-vwo propedeuse et3-communicatie thema-doelgroeponderzoek</t>
  </si>
  <si>
    <t>S2-12.1</t>
  </si>
  <si>
    <t>Per doelgroep een persona of empathy map op basis van de toetsdata</t>
  </si>
  <si>
    <t>Wat: per doelgroep een persona of empathy map maken op basis van de toetsdata.
Waarom: voor wie ontwerpen we eigenlijk?</t>
  </si>
  <si>
    <t>S2-12.2</t>
  </si>
  <si>
    <t>Koppelen aan contactmoment (inspireren/informeren/activeren/committeren)</t>
  </si>
  <si>
    <t>Wat: per persona aangeven bij welk contactmoment en in welke fase (inspireren/informeren/activeren/committeren) die zit.
Waarom: koppeling met deelvraag 3.</t>
  </si>
  <si>
    <t>S2-43</t>
  </si>
  <si>
    <t>Aangeleverde dataset analyseren</t>
  </si>
  <si>
    <t>Waarom: de dataset van de opdrachtgever (instroomcijfers + keuzes van studenten, via Arnoud) laat zien waar het probleem ECHT zit: hoeveel studenten kiezen Data &amp; AI, uit welke vooropleiding, en hoe zit dat t.o.v. de andere richtingen? Onderbouwt de aanleiding met cijfers i.p.v. alleen het beeld van de opdrachtgever; input voor deelvraag 2.
Dataset kan herleidbare gegevens bevatten, dus de afspraken uit het hoofdstuk ethiek gelden hier direct!
Acceptatiecriteria: dataset veilig opgeslagen (alleen projectgroep); analyse met 3–5 kernbevindingen; bevindingen in de aanleiding + bij deelvraag 2; afspraak over verwijderen na afloop vastgelegd.</t>
  </si>
  <si>
    <t>onderzoek deelvraag-2 ethiek et1-kennis et2-oordeel op1 blocked-extern thema-doelgroeponderzoek</t>
  </si>
  <si>
    <t>S2-43.1</t>
  </si>
  <si>
    <t>Dataset ontvangen + afspraken over opslag en toegang vastleggen</t>
  </si>
  <si>
    <t>Wat: de dataset ontvangen en afspreken waar hij staat en wie erbij kan (alleen de projectgroep).
Waarom: veilig omgaan met data van de opdrachtgever.</t>
  </si>
  <si>
    <t>S2-43.2</t>
  </si>
  <si>
    <t>Check op herleidbare gegevens en waar nodig anonimiseren</t>
  </si>
  <si>
    <t>Wat: checken of er herleidbare gegevens in zitten, en die waar nodig weghalen.
Waarom: privacy (zie het hoofdstuk ethiek).</t>
  </si>
  <si>
    <t>S2-43.3</t>
  </si>
  <si>
    <t>Beschrijvende analyse: instroom per richting, vooropleiding en jaar (Excel/Python)</t>
  </si>
  <si>
    <t>Wat: tellen en vergelijken: instroom per richting, vooropleiding en jaar (Excel/Python).
Waarom: laat zien waar het probleem echt zit.</t>
  </si>
  <si>
    <t>S2-43.4</t>
  </si>
  <si>
    <t>Kernbevindingen + grafiek(en) in het onderzoeksplan (aanleiding, deelvraag 2)</t>
  </si>
  <si>
    <t>Wat: 3–5 kernbevindingen + een grafiek in het onderzoeksplan zetten.
Waarom: onderbouwt de aanleiding met cijfers.</t>
  </si>
  <si>
    <t>S2-43.5</t>
  </si>
  <si>
    <t>Afspraak over verwijderen + bevestiging aan aanleverder vastleggen (uitvoeren na het project)</t>
  </si>
  <si>
    <t>Wat: vastleggen dat we de dataset na het project verwijderen en dat aan de aanleverder bevestigen.
Waarom: afspraak uit het onderzoeksplan.</t>
  </si>
  <si>
    <t>S2-51</t>
  </si>
  <si>
    <t>Oriëntatiereis + voor/tijdens/na het contactmoment in kaart brengen</t>
  </si>
  <si>
    <t>Waarom: Elisa (17-9): "breng de oriëntatiereis van de student in beeld; waar en wanneer zijn mensen bezig met oriënteren op een studie?" En de stakeholders (1-10): het "voor en na" de open dag (WhatsApp, nieuwtje, spoiler) staat nog niet concreet in ons stappenplan.
Acceptatiecriteria: journey map van de oriëntatie (waar/wanneer/via wie oriënteren scholieren zich) + per contactmoment ideeën voor vóór, tijdens en na.</t>
  </si>
  <si>
    <t>onderzoek ontwerp deelvraag-3 mbo havo-vwo propedeuse pr1 thema-doelgroeponderzoek</t>
  </si>
  <si>
    <t>S2-51.1</t>
  </si>
  <si>
    <t>Info over de oriëntatie van studiekiezers opvragen bij de HAN</t>
  </si>
  <si>
    <t>Wat: bij de HAN (voorlichting/marketing) vragen wat ze al weten over hoe studiekiezers zich oriënteren.
Waarom: tip van Elisa, de HAN heeft hier vast al informatie over.</t>
  </si>
  <si>
    <t>S2-51.2</t>
  </si>
  <si>
    <t>Uitzoeken waar/wanneer scholieren zich oriënteren (+ vragen erover in het toetsplan)</t>
  </si>
  <si>
    <t>Wat: deskresearch (decaan, open dag, studiekeuzesites, social media, ouders etc.) + een paar vragen hierover in de interviewguide/enquête (S2-08).
Waarom: een open dag is maar één moment; we moeten weten waar we mensen nog meer kunnen bereiken.</t>
  </si>
  <si>
    <t>S2-51.3</t>
  </si>
  <si>
    <t>Journey map maken: oriëntatie → contactmoment → daarna</t>
  </si>
  <si>
    <t>Wat: de reis van de studiekiezer in één overzicht zetten.
Waarom: maakt zichtbaar waar onze aanpak in past (deelvraag 3).</t>
  </si>
  <si>
    <t>S2-51.4</t>
  </si>
  <si>
    <t>Per concept ideeën voor vóór en na het contactmoment</t>
  </si>
  <si>
    <t>Wat: per concept bedenken wat er vóór (bv. teaser/nieuwtje/WhatsApp) en ná (bv. iets meenemen, follow-up) gebeurt.
Waarom: feedback stakeholders (1-10): dat staat nog niet in ons stappenplan.</t>
  </si>
  <si>
    <t>S2-13</t>
  </si>
  <si>
    <t>Beslismatrix concepten</t>
  </si>
  <si>
    <t>Waarom: met een beslismatrix is achteraf te volgen WAAROM we een concept kozen, en kiezen we niet op gevoel (OP3, beslissingenlog).
Criteria (voorstel, uit de feedback van de opdrachtgever): bezoeker maakt/bouwt zelf iets · zelfstandig op te zetten door studenten/docenten · cross-over tussen ICT-richtingen · spreekt brede doelgroep aan (incl. meiden, niet alleen "nerds") · past bij contactmoment(en) · kosten/haalbaarheid · laat meer zien van AI dan alleen LLM's · reactie van de doelgroep (S2-11) · laat zien dat Data &amp; AI ook BOUWEN is · innovatief/baanbrekend, etc.
Let op: "spreekt de doelgroep aan" krijgt het ZWAARSTE gewicht, haalbaarheid weegt minder (feedback stakeholders 1-10: "jullie kiezen nu vooral op wat technisch kan"; en Elisa 17-9: nu nog niet denken of het werkt).</t>
  </si>
  <si>
    <t>onderzoek deelvraag-4 concept-algemeen op3 thema-conceptkeuze</t>
  </si>
  <si>
    <t>S2-13.1</t>
  </si>
  <si>
    <t>Criteria + gewichten samen vaststellen</t>
  </si>
  <si>
    <t>Wat: samen bepalen op welke criteria we de concepten scoren, en hoe zwaar elk criterium weegt.
Waarom: de criteria moeten vóór het scoren vastliggen, anders kies je ze (onbewust) bij je favoriet. Doelgroep-aantrekkingskracht weegt het zwaarst (feedback 1-10)!</t>
  </si>
  <si>
    <t>thema-conceptkeuze</t>
  </si>
  <si>
    <t>S2-13.2</t>
  </si>
  <si>
    <t>Scoren (ieder apart, daarna bespreken)</t>
  </si>
  <si>
    <t>Wat: iedereen scoort eerst alleen, daarna bespreken we de verschillen.
Waarom: zo neemt niet één mening het hele team mee.</t>
  </si>
  <si>
    <t>S2-13.3</t>
  </si>
  <si>
    <t>Matrix + uitleg in het onderzoeksplan</t>
  </si>
  <si>
    <t>Wat: de matrix + uitleg in het onderzoeksplan zetten.
Waarom: de keuze moet te volgen zijn (OP3).</t>
  </si>
  <si>
    <t>S2-14</t>
  </si>
  <si>
    <t>Concept + doelgroep kiezen + terugkoppeling opdrachtgever</t>
  </si>
  <si>
    <t>Waarom: feedback stakeholders (1-10): de keuze voor de trein was nog niet getest en de onderbouwing was generiek, en de doelgroep is nog niet vastgesteld. Concept en doelgroep hangen samen, dus we kiezen ze samen.
Acceptatiecriteria: besluit in het beslissingenlog (welk concept + welke primaire doelgroep / alternatieven / waarom / op basis van welke data). De keuze steunt op doelgroepdata (S2-10/S2-11), NIET op algemene voordelen zoals "handig op de open dag". Opdrachtgever via Teams op de hoogte.</t>
  </si>
  <si>
    <t>stakeholder concept-algemeen pr1 pr3 thema-conceptkeuze</t>
  </si>
  <si>
    <t>S2-14.1</t>
  </si>
  <si>
    <t>Besluitbespreking team</t>
  </si>
  <si>
    <t>Wat: met het hele team de keuze maken op basis van de matrix, de toetsresultaten en de quick scan.
Waarom: dit is HET beslismoment van DS2a.</t>
  </si>
  <si>
    <t>S2-14.2</t>
  </si>
  <si>
    <t>Beslissingenlog + korte update naar opdrachtgever</t>
  </si>
  <si>
    <t>Wat: de keuze in het beslissingenlog (concept / alternatieven / waarom / welke data) + een update naar de opdrachtgever.
Waarom: beslissing zichtbaar, en de opdrachtgever weet waar we naartoe gaan.</t>
  </si>
  <si>
    <t>S2-14.3</t>
  </si>
  <si>
    <t>Primaire doelgroep vastleggen (MBO / havo / vwo / propedeuse)</t>
  </si>
  <si>
    <t>Wat: op basis van S2-11 vastleggen voor welke doelgroep we het gekozen concept uitwerken.
Waarom: zonder vaste doelgroep wordt het ontwerp te breed of juist te smal (feedback 1-10).</t>
  </si>
  <si>
    <t>S2-15</t>
  </si>
  <si>
    <t>Afstemming met Infra/SD over bestaande opstellingen op open dagen</t>
  </si>
  <si>
    <t>Waarom: Infra ('Hack je gek') en SD werven ook op de open dagen. Wat staat er al, waar is ruimte, en waar zit overlap met elk van onze concepten? (Feedback opdrachtgever: vooral de trein raakt aan 'Hack je gek'.) Kans: samenwerking/cross-over; risico: overlap/concurrentie om dezelfde bezoekers. Input voor de beslismatrix!</t>
  </si>
  <si>
    <t>stakeholder concept-algemeen open-dag pr3 blocked-extern thema-conceptkeuze</t>
  </si>
  <si>
    <t>S2-15.1</t>
  </si>
  <si>
    <t>Contactpersoon Infra/SD achterhalen + gesprek plannen</t>
  </si>
  <si>
    <t>Wat: uitzoeken wie bij Infra/SD de open-dag-opstellingen regelt, en een gesprek plannen.
Waarom: zij werven op dezelfde dagen als wij.</t>
  </si>
  <si>
    <t>S2-15.2</t>
  </si>
  <si>
    <t>Gesprek voeren (2 personen) + notulen</t>
  </si>
  <si>
    <t>Wat: het gesprek voeren met z'n tweeën en notuleren.
Waarom: weten wat er al staat, en waar ruimte/overlap is.</t>
  </si>
  <si>
    <t>S2-15.3</t>
  </si>
  <si>
    <t>Conflicterende/gedeelde belangen in de stakeholderanalyse zetten</t>
  </si>
  <si>
    <t>Wat: gedeelde en conflicterende belangen in de stakeholderanalyse zetten.
Waarom: conflicterende belangen zichtbaar maken = PR3 goed.</t>
  </si>
  <si>
    <t>S2-45</t>
  </si>
  <si>
    <t>Co-creatiesessie plannen</t>
  </si>
  <si>
    <t>Waarom: bij co-creatie ontwerpen we SAMEN met de doelgroep, i.p.v. ze alleen onze ideeën te laten beoordelen. Past bij build-to-design, geeft betere eisen voor deelvraag 4 en laat zien dat we stakeholders actief betrekken (PR3). De sessie zelf is in week 44 (S2-46, DS2b), maar deelnemers moeten vóór de vakantie vastliggen.
Staat bij E5 omdat de uitkomst het concept vormgeeft, maar valt in DS2a!
Acceptatiecriteria: doel, vorm, deelnemers, datum en materialen liggen vast.</t>
  </si>
  <si>
    <t>ontwerp stakeholder deelvraag-4 propedeuse havo-vwo pr3 thema-concept-uitwerken</t>
  </si>
  <si>
    <t>S2-45.1</t>
  </si>
  <si>
    <t>Doel en vorm bepalen (bv. 45 min met 4–6 eerstejaars/scholieren: samen de 15-minuten-ervaring ontwerpen)</t>
  </si>
  <si>
    <t>Wat: bepalen wat we willen ophalen en hoe de sessie eruitziet (bv. 45 min, 4–6 deelnemers, samen de 15-minuten-ervaring ontwerpen).
Waarom: zonder duidelijk doel levert co-creatie weinig op.</t>
  </si>
  <si>
    <t>thema-concept-uitwerken</t>
  </si>
  <si>
    <t>S2-45.2</t>
  </si>
  <si>
    <t>Deelnemers + datum vastleggen (via S2-44)</t>
  </si>
  <si>
    <t>Wat: deelnemers en datum (week 44) vastleggen, via S2-44.
Waarom: vóór de vakantie regelen, anders is het te laat.</t>
  </si>
  <si>
    <t>S2-45.3</t>
  </si>
  <si>
    <t>Draaiboek + materialen (storyboard-kaarten, schetsvellen) voorbereiden</t>
  </si>
  <si>
    <t>Wat: draaiboek + materialen maken (storyboard-kaarten, schetsvellen).
Waarom: na de vakantie is er weinig tijd, dus nu al voorbereiden.</t>
  </si>
  <si>
    <t>S2-21</t>
  </si>
  <si>
    <t>Technische quick scan per concept</t>
  </si>
  <si>
    <t>Waarom: haalbaarheid telt mee in de beslismatrix, dus we moeten het voor alle drie weten (niet alleen voor de favoriet). LES Prototypen (do 8 okt) hiervoor gebruiken!</t>
  </si>
  <si>
    <t>onderzoek prototype deelvraag-4 concept-algemeen thema-haalbaarheid-prototype</t>
  </si>
  <si>
    <t>S2-21.1</t>
  </si>
  <si>
    <t>Trein: wat is nodig? (fysiek met Arduino/Raspberry Pi of virtueel in Unity)</t>
  </si>
  <si>
    <t>Wat: uitzoeken wat er nodig is voor de trein (fysiek met Arduino/Raspberry Pi, of virtueel in Unity).
Waarom: haalbaarheid telt mee in de beslismatrix.</t>
  </si>
  <si>
    <t>thema-haalbaarheid-prototype</t>
  </si>
  <si>
    <t>S2-21.2</t>
  </si>
  <si>
    <t>AI-huisdier: wat is nodig? (decision tree tool, virtuele keeper, evt. 3D-print/NFC)</t>
  </si>
  <si>
    <t>Wat: uitzoeken wat er nodig is voor het AI-huisdier (decision tree tool, virtuele keeper, evt. 3D-print/NFC).
Waarom: haalbaarheid telt mee in de beslismatrix.</t>
  </si>
  <si>
    <t>S2-21.3</t>
  </si>
  <si>
    <t>Biometrie: wat is nodig? (sensoren hartslag/zuurstof, live dashboard)</t>
  </si>
  <si>
    <t>Wat: uitzoeken wat er nodig is voor de biometrie (sensoren voor hartslag/zuurstof, live dashboard).
Waarom: haalbaarheid telt mee in de beslismatrix.</t>
  </si>
  <si>
    <t>S2-21.4</t>
  </si>
  <si>
    <t>Vergelijkingstabel (tijd, kosten, skills in team, opzetten door docent, "wow")</t>
  </si>
  <si>
    <t>Wat: de drie naast elkaar in een tabel: tijd, kosten, skills in het team, opzetten door een docent, "wow".
Waarom: maakt de vergelijking overzichtelijk.</t>
  </si>
  <si>
    <t>S2-21.5</t>
  </si>
  <si>
    <t>Expertgesprek FabLab/docent</t>
  </si>
  <si>
    <t>Wat: de quick scan voorleggen aan iemand van het FabLab of een docent.
Waarom: checken of onze inschatting realistisch is.</t>
  </si>
  <si>
    <t>S2-30</t>
  </si>
  <si>
    <t>Ethiek &amp; privacy uitwerken in het onderzoeksplan</t>
  </si>
  <si>
    <t>Waarom: de afspraken over toestemming, opslag en bewaartermijnen staan in het onderzoeksplan nog open, en ethiek is een expliciet beoordelingspunt (ET2). Per concept verschilt het: welke data van (vaak minderjarige) scholieren verzamelen we, en waar blijft die?
Biometrie = gezondheidsdata (hartslag, zuurstof) van minderjarigen, ethisch het zwaarst! Telt mee in de beslismatrix.</t>
  </si>
  <si>
    <t>onderzoek ethiek et2-oordeel op2 thema-ethiek-privacy</t>
  </si>
  <si>
    <t>S2-30.1</t>
  </si>
  <si>
    <t>Hoofdstuk ethiek &amp; privacy in het onderzoeksplan aanvullen (toestemming, opslag, bewaartermijn)</t>
  </si>
  <si>
    <t>Wat: in het hoofdstuk ethiek de open punten invullen: toestemming, opslag, bewaartermijn.
Waarom: staat nu nog op "wordt nog vastgesteld".</t>
  </si>
  <si>
    <t>thema-ethiek-privacy</t>
  </si>
  <si>
    <t>S2-30.2</t>
  </si>
  <si>
    <t>Ethische afweging per concept uitschrijven (data, minderjarigen, beeldvorming "AI pakt banen af")</t>
  </si>
  <si>
    <t>Wat: per concept uitschrijven welke data het verzamelt en wat de risico's zijn (minderjarigen, beeldvorming over AI).
Waarom: ethiek telt mee in de beslismatrix, en biometrie is het zwaarst.</t>
  </si>
  <si>
    <t>S2-31</t>
  </si>
  <si>
    <t>Toestemming voor tests &amp; beeldmateriaal (zo nodig)</t>
  </si>
  <si>
    <t>Wat: een kort formulier voor deelname + foto/video, en afspraken over herkenbare gezichten.
Waarom: we testen met (soms minderjarige) scholieren en willen foto's gebruiken voor de deliverables; zonder toestemming mag dat niet (ET2).</t>
  </si>
  <si>
    <t>documentatie et2-oordeel beeld thema-ethiek-privacy</t>
  </si>
  <si>
    <t>S2-31.1</t>
  </si>
  <si>
    <t>Kort toestemmingsformulier (deelname + foto/video), check met docent</t>
  </si>
  <si>
    <t>Wat: een kort formulier voor deelname + foto/video maken en laten checken door de docent.
Waarom: nodig vóór de eerste toets!</t>
  </si>
  <si>
    <t>S2-32</t>
  </si>
  <si>
    <t>Stakeholderanalyse bijwerken</t>
  </si>
  <si>
    <t>Waarom: sinds sprint 1 zijn er nieuwe stakeholders bijgekomen (Infra/SD, open-dag-organisatie etc.), en de rubric wil zien dat we belangen + conflicten zichtbaar maken (PR3).
Nieuwe/veranderde stakeholders om te checken: Infra ('Hack je gek'), open-dag-organisatie, Arnoud (cijfers), Lectoraat iWDT, eerstejaars als testgroep, FabLab, andere afdelingen (bv. Automatics), etc.</t>
  </si>
  <si>
    <t>stakeholder pr3 thema-stakeholders</t>
  </si>
  <si>
    <t>S2-32.1</t>
  </si>
  <si>
    <t>Analyse bijwerken (belang, houding, macht/invloed, conflicten)</t>
  </si>
  <si>
    <t>Wat: per stakeholder belang, houding, macht/invloed en conflicten bijwerken.
Waarom: de analyse is van sprint 1 en klopt niet meer helemaal.</t>
  </si>
  <si>
    <t>thema-stakeholders</t>
  </si>
  <si>
    <t>S2-32.2</t>
  </si>
  <si>
    <t>Per belangrijk onderzoeksresultaat noteren welke stakeholder het raakt (PR3)</t>
  </si>
  <si>
    <t>Wat: bij elk belangrijk onderzoeksresultaat noteren welke stakeholder het raakt.
Waarom: koppeling belangen ↔ onderzoeksresultaten = PR3 voldoende.</t>
  </si>
  <si>
    <t>S2-32.3</t>
  </si>
  <si>
    <t>Andere afdelingen checken: kunnen we samenwerken? (bv. Automatics)</t>
  </si>
  <si>
    <t>Wat: kijken welke andere afdelingen (naast Infra/SD) iets met ons idee kunnen, en of samenwerking zin heeft.
Waarom: vraag uit de feedbacksessie (17-9): "is er nagedacht over samenwerking met andere afdelingen?"</t>
  </si>
  <si>
    <t>S2-34</t>
  </si>
  <si>
    <t>Update aan opdrachtgever (DS2a)</t>
  </si>
  <si>
    <t>Wat: aan het eind van week 41 en 42 een korte update via Teams (wat gedaan, wat geleerd, wat volgt).
Waarom: de opdrachtgever verwacht dat wij zelf contact houden, niet alleen op de 4 geregelde momenten.</t>
  </si>
  <si>
    <t>S2-34.1</t>
  </si>
  <si>
    <t>Update via Teams (wk 41 + 42)</t>
  </si>
  <si>
    <t>Wat: in week 41 en 42 een korte update via Teams sturen.
Waarom: opdrachtgever op de hoogte houden.</t>
  </si>
  <si>
    <t>S2-35</t>
  </si>
  <si>
    <t>Design Rationale bijwerken t/m week 42</t>
  </si>
  <si>
    <t>Let op: vóór vakantie!
Waarom: de week-8-toets is do 29 okt, en de eerste werkdag na de vakantie is maar 3 dagen eerder. Dus de DR moet vóór de vakantie grotendeels staan (HARD DEADLINE)!</t>
  </si>
  <si>
    <t>documentatie del-designrationale pr1 pr4 thema-design-rationale</t>
  </si>
  <si>
    <t>S2-35.1</t>
  </si>
  <si>
    <t>Per week (35–42) een blok: vraag, aanpak, resultaat, beslissing, met namen</t>
  </si>
  <si>
    <t>Wat: voor elke week (35–42) een blok: vraag, aanpak, resultaat, beslissing, en wie wat deed.
Waarom: de DR is per week en per iteratie opgebouwd.</t>
  </si>
  <si>
    <t>thema-design-rationale</t>
  </si>
  <si>
    <t>S2-35.2</t>
  </si>
  <si>
    <t>Koppeling aan activiteitenplanning/Jira (screenshots board)</t>
  </si>
  <si>
    <t>Wat: koppelen aan de planning/Jira, met screenshots van het board.
Waarom: de DR moet een directe relatie hebben met de activiteitenplanning.</t>
  </si>
  <si>
    <t>S2-35.3</t>
  </si>
  <si>
    <t>Visuele rode draad (tijdlijn) opzetten</t>
  </si>
  <si>
    <t>Wat: de rode draad visueel maken (tijdlijn).
Waarom: de DR is een VISUELE weergave van het proces.</t>
  </si>
  <si>
    <t>S2-42</t>
  </si>
  <si>
    <t>Beeldmateriaal DS2a</t>
  </si>
  <si>
    <t>Waarom: foto's van tussenproducten krijg je later NOOIT meer terug, en we hebben ze nodig voor de DR, poster, 3 beelden en de video.</t>
  </si>
  <si>
    <t>beeld del-beelden del-poster thema-beeldmateriaal</t>
  </si>
  <si>
    <t>S2-42.1</t>
  </si>
  <si>
    <t>Wk 41 + 42 elk ≥ 1 foto/screenshot (toetsmateriaal, concepttoets, beslismatrix), getagd *context / interactie / detail*</t>
  </si>
  <si>
    <t>Wat: in week 41 en 42 minstens één foto/screenshot per week (toetsmateriaal, toets, beslismatrix), getagd context/interactie/detail.
Waarom: tussenproducten krijg je later nooit meer terug.</t>
  </si>
  <si>
    <t>thema-beeldmateriaal</t>
  </si>
  <si>
    <t>S2-53</t>
  </si>
  <si>
    <t>Mini-prototype per concept bouwen (naast de storyboards)</t>
  </si>
  <si>
    <t>Waarom: feedback van de docenten (6-10-2026): meer prioriteit geven aan bouwen/prototypen, i.p.v. vooral beschrijven/toetsen op storyboard-niveau. Naast de storyboards (S2-09) maken we per concept ook een mini-prototype: de kleinst mogelijke WERKENDE kerninteractie, geen volledige build.
Hangt af van S2-21 (technische quick scan): die bepaalt wat haalbaar is per concept binnen deze tijd.
Bewust gepland met surplus: de kern-subtaken (Telt mee = Ja) moeten klaar zijn vóór de concepttoets (S2-10); de uitbreiding/afwerking per concept (Telt mee = Nee, label stretch) mag doorschuiven naar DS2b - dat is dezelfde Jira-sprint (Sprint 2), dus geen apart overloop-proces nodig.
Acceptatiecriteria: per concept minstens 1 werkende kerninteractie, klaar vóór de concepttoets-sessies; input voor S2-10 en de beslismatrix (S2-13).</t>
  </si>
  <si>
    <t>prototype concept-trein concept-aihuisdier concept-biometrie pr1 thema-haalbaarheid-prototype</t>
  </si>
  <si>
    <t>S2-53.1</t>
  </si>
  <si>
    <t>Trein: kerninteractie (mini) bouwen</t>
  </si>
  <si>
    <t>Wat: kleinst mogelijke werkende interactie (bv. 1 sensor/wissel die van richting verandert, zichtbaar gekoppeld aan de 'AI'-logica).
Waarom: tastbaar testmateriaal in de concepttoets, naast het storyboard.</t>
  </si>
  <si>
    <t>prototype concept-trein pr1 thema-haalbaarheid-prototype</t>
  </si>
  <si>
    <t>S2-53.2</t>
  </si>
  <si>
    <t>Trein: uitbreiding/afwerking (mag door naar DS2b)</t>
  </si>
  <si>
    <t>Wat: het mini-prototype verder afwerken/uitbreiden nadat de kerninteractie al getest is.
Waarom: bewust surplus; niet nodig voor de concepttoets of de conceptkeuze, dus mag doorschuiven naar DS2b.</t>
  </si>
  <si>
    <t>Low</t>
  </si>
  <si>
    <t>prototype concept-trein stretch thema-haalbaarheid-prototype</t>
  </si>
  <si>
    <t>Nee</t>
  </si>
  <si>
    <t>S2-53.3</t>
  </si>
  <si>
    <t>AI-huisdier: kerninteractie (mini) bouwen</t>
  </si>
  <si>
    <t>Wat: kleinst mogelijke werkende interactie (bv. 1 simpele decision-tree-keuze met directe reactie van de 'virtuele keeper').
Waarom: tastbaar testmateriaal in de concepttoets, naast het storyboard.</t>
  </si>
  <si>
    <t>prototype concept-aihuisdier pr1 thema-haalbaarheid-prototype</t>
  </si>
  <si>
    <t>S2-53.4</t>
  </si>
  <si>
    <t>AI-huisdier: uitbreiding/afwerking (mag door naar DS2b)</t>
  </si>
  <si>
    <t>prototype concept-aihuisdier stretch thema-haalbaarheid-prototype</t>
  </si>
  <si>
    <t>S2-53.5</t>
  </si>
  <si>
    <t>Biometrie: kerninteractie (mini) bouwen</t>
  </si>
  <si>
    <t>Wat: kleinst mogelijke werkende interactie (bv. 1 sensor hartslag/zuurstof die live een waarde op een scherm laat zien).
Waarom: tastbaar testmateriaal in de concepttoets, naast het storyboard.</t>
  </si>
  <si>
    <t>prototype concept-biometrie pr1 thema-haalbaarheid-prototype</t>
  </si>
  <si>
    <t>S2-53.6</t>
  </si>
  <si>
    <t>Biometrie: uitbreiding/afwerking (mag door naar DS2b)</t>
  </si>
  <si>
    <t>prototype concept-biometrie stretch thema-haalbaarheid-prototype</t>
  </si>
  <si>
    <t>Overzicht designsprint 2</t>
  </si>
  <si>
    <t>Alles wordt berekend uit Backlog; alleen rijen met 'Telt mee' = Ja tellen mee.</t>
  </si>
  <si>
    <t>Uren (sub-tasks)</t>
  </si>
  <si>
    <t>Totaal</t>
  </si>
  <si>
    <t>Capaciteit DS2a (gele cellen aanpassen)</t>
  </si>
  <si>
    <t>Aantal personen</t>
  </si>
  <si>
    <t>Teamleden</t>
  </si>
  <si>
    <t>Projecturen per persoon per week</t>
  </si>
  <si>
    <t>Aanname! Nog samen vaststellen (uitgeggaan van din/don)</t>
  </si>
  <si>
    <t>Buffer-factor</t>
  </si>
  <si>
    <t>Ruimte voor ziekte, uitloop, onverwachte dingen etc.</t>
  </si>
  <si>
    <t>Werkweken DS2a</t>
  </si>
  <si>
    <t>Week 41 en 42 (ma 5 okt – vr 16 okt)</t>
  </si>
  <si>
    <t>Beschikbare uren</t>
  </si>
  <si>
    <t>Gepland (uren)</t>
  </si>
  <si>
    <t>Verschil (negatief = te vol)</t>
  </si>
  <si>
    <t>Ok omdat..you know, er is een tweede helft.)</t>
  </si>
  <si>
    <t>Groep</t>
  </si>
  <si>
    <t>Gebruik</t>
  </si>
  <si>
    <t>Werksoort</t>
  </si>
  <si>
    <t>onderzoek · ontwerp · prototype · test · documentatie · stakeholder · proces · beeld</t>
  </si>
  <si>
    <t>Wat voor werk is het?</t>
  </si>
  <si>
    <t>Deelvraag</t>
  </si>
  <si>
    <t>deelvraag-1 · deelvraag-2 · deelvraag-3 · deelvraag-4 · deelvraag-5</t>
  </si>
  <si>
    <t>Koppeling aan de 5 deelvragen uit het onderzoeksplan (v0.6) = rode draad</t>
  </si>
  <si>
    <t>Ethiek</t>
  </si>
  <si>
    <t>ethiek</t>
  </si>
  <si>
    <t>Ethiek &amp; privacy (eigen hoofdstuk in het plan, geen deelvraag)</t>
  </si>
  <si>
    <t>Concept</t>
  </si>
  <si>
    <t>concept-trein · concept-aihuisdier · concept-biometrie · concept-algemeen</t>
  </si>
  <si>
    <t>Welk concept? (na het beslismoment meteen zichtbaar)</t>
  </si>
  <si>
    <t>Doelgroep</t>
  </si>
  <si>
    <t>mbo · havo-vwo · propedeuse</t>
  </si>
  <si>
    <t>Voor welke doelgroep?</t>
  </si>
  <si>
    <t>Contactmoment</t>
  </si>
  <si>
    <t>schoolvoorlichting · open-dag · proefstuderen · keuzemoment</t>
  </si>
  <si>
    <t>Voor welk contactmoment?</t>
  </si>
  <si>
    <t>Rubric</t>
  </si>
  <si>
    <t>pr1 · pr2 · pr3 · pr4 · op1 · op2 · op3</t>
  </si>
  <si>
    <t>Welk rubric-criterium bewijst dit ticket? (handig voor de DR!)</t>
  </si>
  <si>
    <t>Eindterm</t>
  </si>
  <si>
    <t>et1-kennis · et2-oordeel · et3-communicatie</t>
  </si>
  <si>
    <t>Dublin-descriptoren</t>
  </si>
  <si>
    <t>Deliverable</t>
  </si>
  <si>
    <t>del-designrationale · del-prototype · del-video · del-poster · del-beelden · del-projectbeschrijving</t>
  </si>
  <si>
    <t>Werk dat direct in een (eind)deliverable komt</t>
  </si>
  <si>
    <t>Status-extra</t>
  </si>
  <si>
    <t>blocked-extern · stretch · individueel</t>
  </si>
  <si>
    <t>Wachten op extern · alleen als er tijd over is · telt individueel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</si>
</sst>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Red]\-0.0"/>
  </numFmts>
  <fonts count="7">
    <font>
      <sz val="11"/>
      <color theme="1"/>
      <name val="Calibri"/>
      <family val="2"/>
      <charset val="1"/>
    </font>
    <font>
      <b/>
      <sz val="14"/>
      <name val="Arial"/>
      <charset val="1"/>
    </font>
    <font>
      <i/>
      <sz val="9"/>
      <name val="Arial"/>
      <charset val="1"/>
    </font>
    <font>
      <b/>
      <sz val="10"/>
      <name val="Arial"/>
      <charset val="1"/>
    </font>
    <font>
      <sz val="10"/>
      <name val="Arial"/>
      <charset val="1"/>
    </font>
    <font>
      <b/>
      <sz val="11"/>
      <color rgb="FFFFFFFF"/>
      <name val="Arial"/>
      <charset val="1"/>
    </font>
    <font>
      <sz val="10"/>
      <color rgb="FF0000FF"/>
      <name val="Arial"/>
      <charset val="1"/>
    </font>
  </fonts>
  <fills count="5">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92D050"/>
        <bgColor rgb="FFBFBFBF"/>
      </patternFill>
    </fill>
  </fills>
  <borders count="2">
    <border>
      <left/>
      <right/>
      <top/>
      <bottom/>
      <diagonal/>
    </border>
    <border>
      <left/>
      <right/>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4" fillId="0" borderId="0" xfId="0" applyFont="1" applyAlignment="1">
      <alignment horizontal="right"/>
    </xf>
    <xf numFmtId="0" fontId="5" fillId="2" borderId="0" xfId="0" applyFont="1" applyFill="1" applyAlignment="1">
      <alignment vertical="center" wrapText="1"/>
    </xf>
    <xf numFmtId="0" fontId="4" fillId="0" borderId="1" xfId="0" applyFont="1" applyBorder="1" applyAlignment="1">
      <alignment vertical="top"/>
    </xf>
    <xf numFmtId="0" fontId="4" fillId="0" borderId="1" xfId="0" applyFont="1" applyBorder="1" applyAlignment="1">
      <alignment vertical="top" wrapText="1"/>
    </xf>
    <xf numFmtId="164" fontId="4" fillId="0" borderId="1" xfId="0" applyNumberFormat="1" applyFont="1" applyBorder="1" applyAlignment="1">
      <alignment vertical="top"/>
    </xf>
    <xf numFmtId="165" fontId="4" fillId="0" borderId="1" xfId="0" applyNumberFormat="1" applyFont="1" applyBorder="1" applyAlignment="1">
      <alignment vertical="top"/>
    </xf>
    <xf numFmtId="0" fontId="4" fillId="3" borderId="1" xfId="0" applyFont="1" applyFill="1" applyBorder="1" applyAlignment="1">
      <alignment vertical="top"/>
    </xf>
    <xf numFmtId="0" fontId="4" fillId="0" borderId="1" xfId="0" applyFont="1" applyBorder="1" applyAlignment="1">
      <alignment vertical="top" wrapText="1" indent="1"/>
    </xf>
    <xf numFmtId="0" fontId="4" fillId="4" borderId="1" xfId="0" applyFont="1" applyFill="1" applyBorder="1" applyAlignment="1">
      <alignment vertical="top" wrapText="1"/>
    </xf>
    <xf numFmtId="0" fontId="4" fillId="0" borderId="0" xfId="0" applyFont="1" applyAlignment="1">
      <alignment wrapText="1"/>
    </xf>
    <xf numFmtId="165" fontId="4" fillId="0" borderId="0" xfId="0" applyNumberFormat="1" applyFont="1"/>
    <xf numFmtId="164" fontId="4" fillId="0" borderId="0" xfId="0" applyNumberFormat="1" applyFont="1"/>
    <xf numFmtId="164" fontId="3" fillId="0" borderId="0" xfId="0" applyNumberFormat="1" applyFont="1"/>
    <xf numFmtId="0" fontId="6" fillId="3" borderId="0" xfId="0" applyFont="1" applyFill="1"/>
    <xf numFmtId="166" fontId="3" fillId="0" borderId="0" xfId="0" applyNumberFormat="1"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zoomScaleNormal="100" workbookViewId="0">
      <selection activeCell="B29" sqref="B29"/>
    </sheetView>
  </sheetViews>
  <sheetFormatPr defaultColWidth="8.5703125" defaultRowHeight="15"/>
  <cols>
    <col min="1" max="1" width="10" customWidth="1"/>
    <col min="2" max="2" width="13" customWidth="1"/>
    <col min="3" max="3" width="20" customWidth="1"/>
    <col min="4" max="4" width="11" customWidth="1"/>
    <col min="5" max="5" width="18" customWidth="1"/>
    <col min="6" max="6" width="8" customWidth="1"/>
    <col min="7" max="7" width="12" customWidth="1"/>
    <col min="8" max="8" width="9" customWidth="1"/>
    <col min="9" max="9" width="11" customWidth="1"/>
    <col min="10" max="10" width="10" customWidth="1"/>
    <col min="11" max="11" width="9" customWidth="1"/>
  </cols>
  <sheetData>
    <row r="1" spans="1:1" ht="18" customHeight="1">
      <c r="A1" s="1" t="s">
        <v>0</v>
      </c>
    </row>
    <row r="2" spans="1:1" ht="15" customHeight="1">
      <c r="A2" s="2" t="s">
        <v>1</v>
      </c>
    </row>
    <row r="3" spans="1:1" ht="15" customHeight="1">
      <c r="A3" s="2" t="s">
        <v>2</v>
      </c>
    </row>
    <row r="4" spans="1:1" ht="15" customHeight="1">
      <c r="A4" s="3"/>
    </row>
    <row r="5" spans="1:1" ht="15" customHeight="1">
      <c r="A5" s="3" t="s">
        <v>3</v>
      </c>
    </row>
    <row r="6" spans="1:1" ht="15" customHeight="1">
      <c r="A6" s="4" t="s">
        <v>4</v>
      </c>
    </row>
    <row r="7" spans="1:1" ht="15" customHeight="1">
      <c r="A7" s="4" t="s">
        <v>5</v>
      </c>
    </row>
    <row r="8" spans="1:1" ht="15" customHeight="1">
      <c r="A8" s="4" t="s">
        <v>6</v>
      </c>
    </row>
    <row r="9" spans="1:1" ht="15" customHeight="1">
      <c r="A9" s="4"/>
    </row>
    <row r="10" spans="1:1" ht="15" customHeight="1">
      <c r="A10" s="3" t="s">
        <v>7</v>
      </c>
    </row>
    <row r="11" spans="1:1" ht="15" customHeight="1">
      <c r="A11" s="4" t="s">
        <v>8</v>
      </c>
    </row>
    <row r="12" spans="1:1" ht="15" customHeight="1">
      <c r="A12" s="4" t="s">
        <v>9</v>
      </c>
    </row>
    <row r="13" spans="1:1" ht="15" customHeight="1">
      <c r="A13" s="4" t="s">
        <v>10</v>
      </c>
    </row>
    <row r="14" spans="1:1" ht="15" customHeight="1">
      <c r="A14" s="4"/>
    </row>
    <row r="15" spans="1:1" ht="15" customHeight="1">
      <c r="A15" s="3" t="s">
        <v>11</v>
      </c>
    </row>
    <row r="16" spans="1:1" ht="15" customHeight="1">
      <c r="A16" s="4" t="s">
        <v>12</v>
      </c>
    </row>
    <row r="17" spans="1:11" ht="15" customHeight="1">
      <c r="A17" s="4" t="s">
        <v>13</v>
      </c>
    </row>
    <row r="18" spans="1:11" ht="15" customHeight="1">
      <c r="A18" s="4" t="s">
        <v>14</v>
      </c>
    </row>
    <row r="19" spans="1:11" ht="15" customHeight="1">
      <c r="A19" s="4" t="s">
        <v>15</v>
      </c>
    </row>
    <row r="20" spans="1:11" ht="15" customHeight="1">
      <c r="A20" s="4" t="s">
        <v>16</v>
      </c>
    </row>
    <row r="21" spans="1:11" ht="15" customHeight="1">
      <c r="A21" s="4"/>
    </row>
    <row r="22" spans="1:11" ht="15" customHeight="1">
      <c r="A22" s="3" t="s">
        <v>17</v>
      </c>
    </row>
    <row r="23" spans="1:11" ht="15" customHeight="1">
      <c r="A23" s="5" t="s">
        <v>18</v>
      </c>
      <c r="B23" s="5" t="s">
        <v>19</v>
      </c>
      <c r="C23" s="5" t="s">
        <v>20</v>
      </c>
      <c r="D23" s="5" t="s">
        <v>21</v>
      </c>
      <c r="E23" s="5" t="s">
        <v>22</v>
      </c>
      <c r="F23" s="5" t="s">
        <v>23</v>
      </c>
      <c r="G23" s="5" t="s">
        <v>24</v>
      </c>
      <c r="H23" s="5" t="s">
        <v>25</v>
      </c>
      <c r="I23" s="5" t="s">
        <v>26</v>
      </c>
      <c r="J23" s="5" t="s">
        <v>27</v>
      </c>
      <c r="K23" s="5" t="s">
        <v>28</v>
      </c>
    </row>
    <row r="24" spans="1:11" ht="15" customHeight="1">
      <c r="A24" s="4" t="s">
        <v>29</v>
      </c>
      <c r="B24" s="4" t="s">
        <v>30</v>
      </c>
      <c r="C24" s="4" t="s">
        <v>31</v>
      </c>
      <c r="D24" s="4" t="s">
        <v>32</v>
      </c>
      <c r="E24" s="4" t="s">
        <v>33</v>
      </c>
      <c r="F24" s="4" t="s">
        <v>34</v>
      </c>
      <c r="G24" s="6">
        <v>2</v>
      </c>
      <c r="H24" s="4" t="s">
        <v>35</v>
      </c>
      <c r="I24" s="4" t="s">
        <v>36</v>
      </c>
      <c r="J24" s="4" t="s">
        <v>37</v>
      </c>
      <c r="K24" s="4" t="s">
        <v>38</v>
      </c>
    </row>
    <row r="26" spans="1:11">
      <c r="A26" s="4"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2"/>
  <sheetViews>
    <sheetView tabSelected="1" zoomScaleNormal="100" workbookViewId="0">
      <pane xSplit="5" ySplit="1" topLeftCell="F120" activePane="bottomRight" state="frozen"/>
      <selection pane="bottomRight" activeCell="E126" sqref="E126"/>
      <selection pane="bottomLeft" activeCell="A120" sqref="A120"/>
      <selection pane="topRight" activeCell="F1" sqref="F1"/>
    </sheetView>
  </sheetViews>
  <sheetFormatPr defaultColWidth="8.5703125" defaultRowHeight="15"/>
  <cols>
    <col min="1" max="3" width="9" customWidth="1"/>
    <col min="4" max="4" width="10" customWidth="1"/>
    <col min="5" max="5" width="55" customWidth="1"/>
    <col min="6" max="6" width="60" customWidth="1"/>
    <col min="7" max="7" width="30" customWidth="1"/>
    <col min="8" max="8" width="9" customWidth="1"/>
    <col min="9" max="9" width="8" customWidth="1"/>
    <col min="10" max="10" width="11" customWidth="1"/>
    <col min="11" max="11" width="9" customWidth="1"/>
    <col min="12" max="12" width="40" customWidth="1"/>
    <col min="13" max="13" width="11" customWidth="1"/>
    <col min="14" max="14" width="16" customWidth="1"/>
    <col min="15" max="16" width="9" customWidth="1"/>
    <col min="17" max="17" width="45" customWidth="1"/>
  </cols>
  <sheetData>
    <row r="1" spans="1:17" ht="30" customHeight="1">
      <c r="A1" s="7" t="s">
        <v>18</v>
      </c>
      <c r="B1" s="7" t="s">
        <v>19</v>
      </c>
      <c r="C1" s="7" t="s">
        <v>20</v>
      </c>
      <c r="D1" s="7" t="s">
        <v>21</v>
      </c>
      <c r="E1" s="7" t="s">
        <v>22</v>
      </c>
      <c r="F1" s="7" t="s">
        <v>40</v>
      </c>
      <c r="G1" s="7" t="s">
        <v>41</v>
      </c>
      <c r="H1" s="7" t="s">
        <v>23</v>
      </c>
      <c r="I1" s="7" t="s">
        <v>42</v>
      </c>
      <c r="J1" s="7" t="s">
        <v>24</v>
      </c>
      <c r="K1" s="7" t="s">
        <v>25</v>
      </c>
      <c r="L1" s="7" t="s">
        <v>43</v>
      </c>
      <c r="M1" s="7" t="s">
        <v>26</v>
      </c>
      <c r="N1" s="7" t="s">
        <v>27</v>
      </c>
      <c r="O1" s="7" t="s">
        <v>44</v>
      </c>
      <c r="P1" s="7" t="s">
        <v>28</v>
      </c>
      <c r="Q1" s="7" t="s">
        <v>45</v>
      </c>
    </row>
    <row r="2" spans="1:17" ht="38.25" customHeight="1">
      <c r="A2" s="8" t="s">
        <v>46</v>
      </c>
      <c r="B2" s="8">
        <v>11</v>
      </c>
      <c r="C2" s="8"/>
      <c r="D2" s="8" t="s">
        <v>41</v>
      </c>
      <c r="E2" s="9" t="s">
        <v>47</v>
      </c>
      <c r="F2" s="9" t="s">
        <v>48</v>
      </c>
      <c r="G2" s="8" t="s">
        <v>47</v>
      </c>
      <c r="H2" s="8">
        <v>2</v>
      </c>
      <c r="I2" s="8">
        <v>5</v>
      </c>
      <c r="J2" s="10"/>
      <c r="K2" s="8" t="s">
        <v>35</v>
      </c>
      <c r="L2" s="9" t="s">
        <v>49</v>
      </c>
      <c r="M2" s="11">
        <v>46311</v>
      </c>
      <c r="N2" s="12"/>
      <c r="O2" s="8" t="s">
        <v>50</v>
      </c>
      <c r="P2" s="8" t="s">
        <v>38</v>
      </c>
      <c r="Q2" s="9"/>
    </row>
    <row r="3" spans="1:17" ht="38.25" customHeight="1">
      <c r="A3" s="8" t="s">
        <v>51</v>
      </c>
      <c r="B3" s="8">
        <v>12</v>
      </c>
      <c r="C3" s="8">
        <v>11</v>
      </c>
      <c r="D3" s="8" t="s">
        <v>32</v>
      </c>
      <c r="E3" s="13" t="s">
        <v>52</v>
      </c>
      <c r="F3" s="9" t="s">
        <v>53</v>
      </c>
      <c r="G3" s="8" t="s">
        <v>47</v>
      </c>
      <c r="H3" s="8">
        <v>2</v>
      </c>
      <c r="I3" s="8"/>
      <c r="J3" s="10">
        <v>1.5</v>
      </c>
      <c r="K3" s="8" t="s">
        <v>35</v>
      </c>
      <c r="L3" s="9" t="s">
        <v>54</v>
      </c>
      <c r="M3" s="11">
        <v>46311</v>
      </c>
      <c r="N3" s="12"/>
      <c r="O3" s="8" t="s">
        <v>50</v>
      </c>
      <c r="P3" s="8" t="s">
        <v>38</v>
      </c>
      <c r="Q3" s="9"/>
    </row>
    <row r="4" spans="1:17" ht="38.25" customHeight="1">
      <c r="A4" s="8" t="s">
        <v>55</v>
      </c>
      <c r="B4" s="8">
        <v>13</v>
      </c>
      <c r="C4" s="8">
        <v>11</v>
      </c>
      <c r="D4" s="8" t="s">
        <v>32</v>
      </c>
      <c r="E4" s="13" t="s">
        <v>56</v>
      </c>
      <c r="F4" s="9" t="s">
        <v>57</v>
      </c>
      <c r="G4" s="8" t="s">
        <v>47</v>
      </c>
      <c r="H4" s="8">
        <v>2</v>
      </c>
      <c r="I4" s="8"/>
      <c r="J4" s="10">
        <v>1</v>
      </c>
      <c r="K4" s="8" t="s">
        <v>35</v>
      </c>
      <c r="L4" s="9" t="s">
        <v>54</v>
      </c>
      <c r="M4" s="11">
        <v>46311</v>
      </c>
      <c r="N4" s="12"/>
      <c r="O4" s="8" t="s">
        <v>50</v>
      </c>
      <c r="P4" s="8" t="s">
        <v>38</v>
      </c>
      <c r="Q4" s="9"/>
    </row>
    <row r="5" spans="1:17" ht="51" customHeight="1">
      <c r="A5" s="8" t="s">
        <v>58</v>
      </c>
      <c r="B5" s="8">
        <v>14</v>
      </c>
      <c r="C5" s="8">
        <v>11</v>
      </c>
      <c r="D5" s="8" t="s">
        <v>32</v>
      </c>
      <c r="E5" s="13" t="s">
        <v>59</v>
      </c>
      <c r="F5" s="9" t="s">
        <v>60</v>
      </c>
      <c r="G5" s="8" t="s">
        <v>47</v>
      </c>
      <c r="H5" s="8">
        <v>2</v>
      </c>
      <c r="I5" s="8"/>
      <c r="J5" s="10">
        <v>1</v>
      </c>
      <c r="K5" s="8" t="s">
        <v>35</v>
      </c>
      <c r="L5" s="9" t="s">
        <v>54</v>
      </c>
      <c r="M5" s="11">
        <v>46311</v>
      </c>
      <c r="N5" s="12"/>
      <c r="O5" s="8" t="s">
        <v>50</v>
      </c>
      <c r="P5" s="8" t="s">
        <v>38</v>
      </c>
      <c r="Q5" s="9"/>
    </row>
    <row r="6" spans="1:17" ht="25.5" customHeight="1">
      <c r="A6" s="8" t="s">
        <v>61</v>
      </c>
      <c r="B6" s="8">
        <v>15</v>
      </c>
      <c r="C6" s="8">
        <v>11</v>
      </c>
      <c r="D6" s="8" t="s">
        <v>32</v>
      </c>
      <c r="E6" s="13" t="s">
        <v>62</v>
      </c>
      <c r="F6" s="14" t="s">
        <v>63</v>
      </c>
      <c r="G6" s="8" t="s">
        <v>47</v>
      </c>
      <c r="H6" s="8">
        <v>2</v>
      </c>
      <c r="I6" s="8"/>
      <c r="J6" s="10">
        <v>2</v>
      </c>
      <c r="K6" s="8" t="s">
        <v>35</v>
      </c>
      <c r="L6" s="9" t="s">
        <v>54</v>
      </c>
      <c r="M6" s="11">
        <v>46311</v>
      </c>
      <c r="N6" s="12"/>
      <c r="O6" s="8" t="s">
        <v>50</v>
      </c>
      <c r="P6" s="8" t="s">
        <v>38</v>
      </c>
      <c r="Q6" s="9"/>
    </row>
    <row r="7" spans="1:17" ht="25.5" customHeight="1">
      <c r="A7" s="8" t="s">
        <v>64</v>
      </c>
      <c r="B7" s="8">
        <v>16</v>
      </c>
      <c r="C7" s="8">
        <v>11</v>
      </c>
      <c r="D7" s="8" t="s">
        <v>32</v>
      </c>
      <c r="E7" s="13" t="s">
        <v>65</v>
      </c>
      <c r="F7" s="9" t="s">
        <v>66</v>
      </c>
      <c r="G7" s="8" t="s">
        <v>47</v>
      </c>
      <c r="H7" s="8">
        <v>2</v>
      </c>
      <c r="I7" s="8"/>
      <c r="J7" s="10">
        <v>0.5</v>
      </c>
      <c r="K7" s="8" t="s">
        <v>35</v>
      </c>
      <c r="L7" s="9" t="s">
        <v>54</v>
      </c>
      <c r="M7" s="11">
        <v>46311</v>
      </c>
      <c r="N7" s="12"/>
      <c r="O7" s="8" t="s">
        <v>50</v>
      </c>
      <c r="P7" s="8" t="s">
        <v>38</v>
      </c>
      <c r="Q7" s="9"/>
    </row>
    <row r="8" spans="1:17" ht="25.5" customHeight="1">
      <c r="A8" s="8" t="s">
        <v>67</v>
      </c>
      <c r="B8" s="8">
        <v>17</v>
      </c>
      <c r="C8" s="8">
        <v>11</v>
      </c>
      <c r="D8" s="8" t="s">
        <v>32</v>
      </c>
      <c r="E8" s="13" t="s">
        <v>68</v>
      </c>
      <c r="F8" s="9" t="s">
        <v>69</v>
      </c>
      <c r="G8" s="8" t="s">
        <v>47</v>
      </c>
      <c r="H8" s="8">
        <v>2</v>
      </c>
      <c r="I8" s="8"/>
      <c r="J8" s="10">
        <v>1.5</v>
      </c>
      <c r="K8" s="8" t="s">
        <v>35</v>
      </c>
      <c r="L8" s="9" t="s">
        <v>54</v>
      </c>
      <c r="M8" s="11">
        <v>46311</v>
      </c>
      <c r="N8" s="12"/>
      <c r="O8" s="8" t="s">
        <v>50</v>
      </c>
      <c r="P8" s="8" t="s">
        <v>38</v>
      </c>
      <c r="Q8" s="9"/>
    </row>
    <row r="9" spans="1:17" ht="25.5" customHeight="1">
      <c r="A9" s="8" t="s">
        <v>70</v>
      </c>
      <c r="B9" s="8">
        <v>18</v>
      </c>
      <c r="C9" s="8">
        <v>11</v>
      </c>
      <c r="D9" s="8" t="s">
        <v>32</v>
      </c>
      <c r="E9" s="13" t="s">
        <v>71</v>
      </c>
      <c r="F9" s="9" t="s">
        <v>72</v>
      </c>
      <c r="G9" s="8" t="s">
        <v>47</v>
      </c>
      <c r="H9" s="8">
        <v>2</v>
      </c>
      <c r="I9" s="8"/>
      <c r="J9" s="10">
        <v>1</v>
      </c>
      <c r="K9" s="8" t="s">
        <v>35</v>
      </c>
      <c r="L9" s="9" t="s">
        <v>54</v>
      </c>
      <c r="M9" s="11">
        <v>46311</v>
      </c>
      <c r="N9" s="12"/>
      <c r="O9" s="8" t="s">
        <v>50</v>
      </c>
      <c r="P9" s="8" t="s">
        <v>38</v>
      </c>
      <c r="Q9" s="9"/>
    </row>
    <row r="10" spans="1:17" ht="25.5" customHeight="1">
      <c r="A10" s="8" t="s">
        <v>73</v>
      </c>
      <c r="B10" s="8">
        <v>19</v>
      </c>
      <c r="C10" s="8">
        <v>11</v>
      </c>
      <c r="D10" s="8" t="s">
        <v>32</v>
      </c>
      <c r="E10" s="13" t="s">
        <v>74</v>
      </c>
      <c r="F10" s="9" t="s">
        <v>75</v>
      </c>
      <c r="G10" s="8" t="s">
        <v>47</v>
      </c>
      <c r="H10" s="8">
        <v>2</v>
      </c>
      <c r="I10" s="8"/>
      <c r="J10" s="10">
        <v>1</v>
      </c>
      <c r="K10" s="8" t="s">
        <v>35</v>
      </c>
      <c r="L10" s="9" t="s">
        <v>54</v>
      </c>
      <c r="M10" s="11">
        <v>46311</v>
      </c>
      <c r="N10" s="12"/>
      <c r="O10" s="8" t="s">
        <v>50</v>
      </c>
      <c r="P10" s="8" t="s">
        <v>38</v>
      </c>
      <c r="Q10" s="9"/>
    </row>
    <row r="11" spans="1:17" ht="38.25" customHeight="1">
      <c r="A11" s="8" t="s">
        <v>76</v>
      </c>
      <c r="B11" s="8">
        <v>20</v>
      </c>
      <c r="C11" s="8">
        <v>11</v>
      </c>
      <c r="D11" s="8" t="s">
        <v>32</v>
      </c>
      <c r="E11" s="13" t="s">
        <v>77</v>
      </c>
      <c r="F11" s="9" t="s">
        <v>78</v>
      </c>
      <c r="G11" s="8" t="s">
        <v>47</v>
      </c>
      <c r="H11" s="8">
        <v>2</v>
      </c>
      <c r="I11" s="8"/>
      <c r="J11" s="10">
        <v>0.5</v>
      </c>
      <c r="K11" s="8" t="s">
        <v>35</v>
      </c>
      <c r="L11" s="9" t="s">
        <v>54</v>
      </c>
      <c r="M11" s="11">
        <v>46311</v>
      </c>
      <c r="N11" s="12"/>
      <c r="O11" s="8" t="s">
        <v>50</v>
      </c>
      <c r="P11" s="8" t="s">
        <v>38</v>
      </c>
      <c r="Q11" s="9"/>
    </row>
    <row r="12" spans="1:17" ht="153" customHeight="1">
      <c r="A12" s="8" t="s">
        <v>79</v>
      </c>
      <c r="B12" s="8">
        <v>21</v>
      </c>
      <c r="C12" s="8">
        <v>11</v>
      </c>
      <c r="D12" s="8" t="s">
        <v>32</v>
      </c>
      <c r="E12" s="13" t="s">
        <v>80</v>
      </c>
      <c r="F12" s="9" t="s">
        <v>81</v>
      </c>
      <c r="G12" s="8" t="s">
        <v>47</v>
      </c>
      <c r="H12" s="8">
        <v>2</v>
      </c>
      <c r="I12" s="8"/>
      <c r="J12" s="10">
        <v>0.5</v>
      </c>
      <c r="K12" s="8" t="s">
        <v>35</v>
      </c>
      <c r="L12" s="9" t="s">
        <v>54</v>
      </c>
      <c r="M12" s="11">
        <v>46311</v>
      </c>
      <c r="N12" s="12"/>
      <c r="O12" s="8" t="s">
        <v>50</v>
      </c>
      <c r="P12" s="8" t="s">
        <v>38</v>
      </c>
      <c r="Q12" s="9"/>
    </row>
    <row r="13" spans="1:17" ht="25.5" customHeight="1">
      <c r="A13" s="8" t="s">
        <v>82</v>
      </c>
      <c r="B13" s="8">
        <v>22</v>
      </c>
      <c r="C13" s="8"/>
      <c r="D13" s="8" t="s">
        <v>41</v>
      </c>
      <c r="E13" s="9" t="s">
        <v>83</v>
      </c>
      <c r="F13" s="9" t="s">
        <v>84</v>
      </c>
      <c r="G13" s="8" t="s">
        <v>83</v>
      </c>
      <c r="H13" s="8">
        <v>2</v>
      </c>
      <c r="I13" s="8">
        <v>2</v>
      </c>
      <c r="J13" s="10"/>
      <c r="K13" s="8" t="s">
        <v>85</v>
      </c>
      <c r="L13" s="9" t="s">
        <v>86</v>
      </c>
      <c r="M13" s="11">
        <v>46301</v>
      </c>
      <c r="N13" s="12"/>
      <c r="O13" s="8" t="s">
        <v>50</v>
      </c>
      <c r="P13" s="8" t="s">
        <v>38</v>
      </c>
      <c r="Q13" s="9"/>
    </row>
    <row r="14" spans="1:17" ht="25.5" customHeight="1">
      <c r="A14" s="8" t="s">
        <v>87</v>
      </c>
      <c r="B14" s="8">
        <v>23</v>
      </c>
      <c r="C14" s="8">
        <v>22</v>
      </c>
      <c r="D14" s="8" t="s">
        <v>32</v>
      </c>
      <c r="E14" s="13" t="s">
        <v>88</v>
      </c>
      <c r="F14" s="9" t="s">
        <v>89</v>
      </c>
      <c r="G14" s="8" t="s">
        <v>83</v>
      </c>
      <c r="H14" s="8">
        <v>2</v>
      </c>
      <c r="I14" s="8"/>
      <c r="J14" s="10">
        <v>4</v>
      </c>
      <c r="K14" s="8" t="s">
        <v>85</v>
      </c>
      <c r="L14" s="9" t="s">
        <v>54</v>
      </c>
      <c r="M14" s="11">
        <v>46301</v>
      </c>
      <c r="N14" s="12"/>
      <c r="O14" s="8" t="s">
        <v>50</v>
      </c>
      <c r="P14" s="8" t="s">
        <v>38</v>
      </c>
      <c r="Q14" s="9"/>
    </row>
    <row r="15" spans="1:17" ht="25.5" customHeight="1">
      <c r="A15" s="8" t="s">
        <v>90</v>
      </c>
      <c r="B15" s="8">
        <v>24</v>
      </c>
      <c r="C15" s="8">
        <v>22</v>
      </c>
      <c r="D15" s="8" t="s">
        <v>32</v>
      </c>
      <c r="E15" s="13" t="s">
        <v>91</v>
      </c>
      <c r="F15" s="9" t="s">
        <v>92</v>
      </c>
      <c r="G15" s="8" t="s">
        <v>83</v>
      </c>
      <c r="H15" s="8">
        <v>2</v>
      </c>
      <c r="I15" s="8"/>
      <c r="J15" s="10">
        <v>1.5</v>
      </c>
      <c r="K15" s="8" t="s">
        <v>85</v>
      </c>
      <c r="L15" s="9" t="s">
        <v>54</v>
      </c>
      <c r="M15" s="11">
        <v>46301</v>
      </c>
      <c r="N15" s="12"/>
      <c r="O15" s="8" t="s">
        <v>50</v>
      </c>
      <c r="P15" s="8" t="s">
        <v>38</v>
      </c>
      <c r="Q15" s="9"/>
    </row>
    <row r="16" spans="1:17" ht="63.75" customHeight="1">
      <c r="A16" s="8" t="s">
        <v>93</v>
      </c>
      <c r="B16" s="8">
        <v>25</v>
      </c>
      <c r="C16" s="8">
        <v>22</v>
      </c>
      <c r="D16" s="8" t="s">
        <v>32</v>
      </c>
      <c r="E16" s="13" t="s">
        <v>94</v>
      </c>
      <c r="F16" s="9" t="s">
        <v>95</v>
      </c>
      <c r="G16" s="8" t="s">
        <v>83</v>
      </c>
      <c r="H16" s="8">
        <v>2</v>
      </c>
      <c r="I16" s="8"/>
      <c r="J16" s="10">
        <v>0.5</v>
      </c>
      <c r="K16" s="8" t="s">
        <v>85</v>
      </c>
      <c r="L16" s="9" t="s">
        <v>54</v>
      </c>
      <c r="M16" s="11">
        <v>46301</v>
      </c>
      <c r="N16" s="12"/>
      <c r="O16" s="8" t="s">
        <v>50</v>
      </c>
      <c r="P16" s="8" t="s">
        <v>38</v>
      </c>
      <c r="Q16" s="9"/>
    </row>
    <row r="17" spans="1:17" ht="25.5" customHeight="1">
      <c r="A17" s="8" t="s">
        <v>96</v>
      </c>
      <c r="B17" s="8">
        <v>26</v>
      </c>
      <c r="C17" s="8"/>
      <c r="D17" s="8" t="s">
        <v>41</v>
      </c>
      <c r="E17" s="9" t="s">
        <v>97</v>
      </c>
      <c r="F17" s="9" t="s">
        <v>98</v>
      </c>
      <c r="G17" s="8" t="s">
        <v>97</v>
      </c>
      <c r="H17" s="8">
        <v>2</v>
      </c>
      <c r="I17" s="8">
        <v>2</v>
      </c>
      <c r="J17" s="10"/>
      <c r="K17" s="8" t="s">
        <v>99</v>
      </c>
      <c r="L17" s="9" t="s">
        <v>100</v>
      </c>
      <c r="M17" s="11">
        <v>46304</v>
      </c>
      <c r="N17" s="12"/>
      <c r="O17" s="8" t="s">
        <v>50</v>
      </c>
      <c r="P17" s="8" t="s">
        <v>38</v>
      </c>
      <c r="Q17" s="9"/>
    </row>
    <row r="18" spans="1:17" ht="25.5" customHeight="1">
      <c r="A18" s="8" t="s">
        <v>101</v>
      </c>
      <c r="B18" s="8">
        <v>27</v>
      </c>
      <c r="C18" s="8">
        <v>26</v>
      </c>
      <c r="D18" s="8" t="s">
        <v>32</v>
      </c>
      <c r="E18" s="13" t="s">
        <v>102</v>
      </c>
      <c r="F18" s="9" t="s">
        <v>103</v>
      </c>
      <c r="G18" s="8" t="s">
        <v>97</v>
      </c>
      <c r="H18" s="8">
        <v>2</v>
      </c>
      <c r="I18" s="8"/>
      <c r="J18" s="10">
        <v>0.5</v>
      </c>
      <c r="K18" s="8" t="s">
        <v>99</v>
      </c>
      <c r="L18" s="9" t="s">
        <v>54</v>
      </c>
      <c r="M18" s="11">
        <v>46304</v>
      </c>
      <c r="N18" s="12"/>
      <c r="O18" s="8" t="s">
        <v>50</v>
      </c>
      <c r="P18" s="8" t="s">
        <v>38</v>
      </c>
      <c r="Q18" s="9"/>
    </row>
    <row r="19" spans="1:17" ht="38.25" customHeight="1">
      <c r="A19" s="8" t="s">
        <v>104</v>
      </c>
      <c r="B19" s="8">
        <v>28</v>
      </c>
      <c r="C19" s="8">
        <v>26</v>
      </c>
      <c r="D19" s="8" t="s">
        <v>32</v>
      </c>
      <c r="E19" s="13" t="s">
        <v>105</v>
      </c>
      <c r="F19" s="9" t="s">
        <v>106</v>
      </c>
      <c r="G19" s="8" t="s">
        <v>97</v>
      </c>
      <c r="H19" s="8">
        <v>2</v>
      </c>
      <c r="I19" s="8"/>
      <c r="J19" s="10">
        <v>0.5</v>
      </c>
      <c r="K19" s="8" t="s">
        <v>99</v>
      </c>
      <c r="L19" s="9" t="s">
        <v>54</v>
      </c>
      <c r="M19" s="11">
        <v>46304</v>
      </c>
      <c r="N19" s="12"/>
      <c r="O19" s="8" t="s">
        <v>50</v>
      </c>
      <c r="P19" s="8" t="s">
        <v>38</v>
      </c>
      <c r="Q19" s="9"/>
    </row>
    <row r="20" spans="1:17" ht="25.5" customHeight="1">
      <c r="A20" s="8" t="s">
        <v>107</v>
      </c>
      <c r="B20" s="8">
        <v>29</v>
      </c>
      <c r="C20" s="8">
        <v>26</v>
      </c>
      <c r="D20" s="8" t="s">
        <v>32</v>
      </c>
      <c r="E20" s="13" t="s">
        <v>108</v>
      </c>
      <c r="F20" s="9" t="s">
        <v>109</v>
      </c>
      <c r="G20" s="8" t="s">
        <v>97</v>
      </c>
      <c r="H20" s="8">
        <v>2</v>
      </c>
      <c r="I20" s="8"/>
      <c r="J20" s="10">
        <v>0.5</v>
      </c>
      <c r="K20" s="8" t="s">
        <v>99</v>
      </c>
      <c r="L20" s="9" t="s">
        <v>54</v>
      </c>
      <c r="M20" s="11">
        <v>46304</v>
      </c>
      <c r="N20" s="12"/>
      <c r="O20" s="8" t="s">
        <v>50</v>
      </c>
      <c r="P20" s="8" t="s">
        <v>38</v>
      </c>
      <c r="Q20" s="9"/>
    </row>
    <row r="21" spans="1:17" ht="38.25" customHeight="1">
      <c r="A21" s="8" t="s">
        <v>110</v>
      </c>
      <c r="B21" s="8">
        <v>30</v>
      </c>
      <c r="C21" s="8">
        <v>26</v>
      </c>
      <c r="D21" s="8" t="s">
        <v>32</v>
      </c>
      <c r="E21" s="13" t="s">
        <v>111</v>
      </c>
      <c r="F21" s="9" t="s">
        <v>112</v>
      </c>
      <c r="G21" s="8" t="s">
        <v>97</v>
      </c>
      <c r="H21" s="8">
        <v>2</v>
      </c>
      <c r="I21" s="8"/>
      <c r="J21" s="10">
        <v>0.5</v>
      </c>
      <c r="K21" s="8" t="s">
        <v>99</v>
      </c>
      <c r="L21" s="9" t="s">
        <v>54</v>
      </c>
      <c r="M21" s="11">
        <v>46304</v>
      </c>
      <c r="N21" s="12"/>
      <c r="O21" s="8" t="s">
        <v>50</v>
      </c>
      <c r="P21" s="8" t="s">
        <v>38</v>
      </c>
      <c r="Q21" s="9"/>
    </row>
    <row r="22" spans="1:17" ht="38.25" customHeight="1">
      <c r="A22" s="8" t="s">
        <v>113</v>
      </c>
      <c r="B22" s="8">
        <v>31</v>
      </c>
      <c r="C22" s="8">
        <v>26</v>
      </c>
      <c r="D22" s="8" t="s">
        <v>32</v>
      </c>
      <c r="E22" s="13" t="s">
        <v>114</v>
      </c>
      <c r="F22" s="9" t="s">
        <v>115</v>
      </c>
      <c r="G22" s="8" t="s">
        <v>97</v>
      </c>
      <c r="H22" s="8">
        <v>2</v>
      </c>
      <c r="I22" s="8"/>
      <c r="J22" s="10">
        <v>4</v>
      </c>
      <c r="K22" s="8" t="s">
        <v>99</v>
      </c>
      <c r="L22" s="9" t="s">
        <v>54</v>
      </c>
      <c r="M22" s="11">
        <v>46304</v>
      </c>
      <c r="N22" s="12"/>
      <c r="O22" s="8" t="s">
        <v>50</v>
      </c>
      <c r="P22" s="8" t="s">
        <v>38</v>
      </c>
      <c r="Q22" s="9"/>
    </row>
    <row r="23" spans="1:17" ht="51" customHeight="1">
      <c r="A23" s="8" t="s">
        <v>116</v>
      </c>
      <c r="B23" s="8">
        <v>32</v>
      </c>
      <c r="C23" s="8"/>
      <c r="D23" s="8" t="s">
        <v>41</v>
      </c>
      <c r="E23" s="9" t="s">
        <v>117</v>
      </c>
      <c r="F23" s="9" t="s">
        <v>118</v>
      </c>
      <c r="G23" s="8" t="s">
        <v>117</v>
      </c>
      <c r="H23" s="8">
        <v>2</v>
      </c>
      <c r="I23" s="8">
        <v>5</v>
      </c>
      <c r="J23" s="10"/>
      <c r="K23" s="8" t="s">
        <v>85</v>
      </c>
      <c r="L23" s="9" t="s">
        <v>119</v>
      </c>
      <c r="M23" s="11">
        <v>46309</v>
      </c>
      <c r="N23" s="12"/>
      <c r="O23" s="8" t="s">
        <v>50</v>
      </c>
      <c r="P23" s="8" t="s">
        <v>38</v>
      </c>
      <c r="Q23" s="9"/>
    </row>
    <row r="24" spans="1:17" ht="51" customHeight="1">
      <c r="A24" s="8" t="s">
        <v>120</v>
      </c>
      <c r="B24" s="8">
        <v>33</v>
      </c>
      <c r="C24" s="8">
        <v>32</v>
      </c>
      <c r="D24" s="8" t="s">
        <v>32</v>
      </c>
      <c r="E24" s="13" t="s">
        <v>121</v>
      </c>
      <c r="F24" s="9" t="s">
        <v>122</v>
      </c>
      <c r="G24" s="8" t="s">
        <v>117</v>
      </c>
      <c r="H24" s="8">
        <v>2</v>
      </c>
      <c r="I24" s="8"/>
      <c r="J24" s="10">
        <v>3</v>
      </c>
      <c r="K24" s="8" t="s">
        <v>85</v>
      </c>
      <c r="L24" s="9" t="s">
        <v>54</v>
      </c>
      <c r="M24" s="11">
        <v>46309</v>
      </c>
      <c r="N24" s="12"/>
      <c r="O24" s="8" t="s">
        <v>50</v>
      </c>
      <c r="P24" s="8" t="s">
        <v>38</v>
      </c>
      <c r="Q24" s="9"/>
    </row>
    <row r="25" spans="1:17" ht="38.25" customHeight="1">
      <c r="A25" s="8" t="s">
        <v>123</v>
      </c>
      <c r="B25" s="8">
        <v>34</v>
      </c>
      <c r="C25" s="8">
        <v>32</v>
      </c>
      <c r="D25" s="8" t="s">
        <v>32</v>
      </c>
      <c r="E25" s="13" t="s">
        <v>124</v>
      </c>
      <c r="F25" s="9" t="s">
        <v>125</v>
      </c>
      <c r="G25" s="8" t="s">
        <v>117</v>
      </c>
      <c r="H25" s="8">
        <v>2</v>
      </c>
      <c r="I25" s="8"/>
      <c r="J25" s="10">
        <v>2</v>
      </c>
      <c r="K25" s="8" t="s">
        <v>85</v>
      </c>
      <c r="L25" s="9" t="s">
        <v>54</v>
      </c>
      <c r="M25" s="11">
        <v>46309</v>
      </c>
      <c r="N25" s="12"/>
      <c r="O25" s="8" t="s">
        <v>50</v>
      </c>
      <c r="P25" s="8" t="s">
        <v>38</v>
      </c>
      <c r="Q25" s="9"/>
    </row>
    <row r="26" spans="1:17" ht="25.5" customHeight="1">
      <c r="A26" s="8" t="s">
        <v>126</v>
      </c>
      <c r="B26" s="8">
        <v>35</v>
      </c>
      <c r="C26" s="8">
        <v>32</v>
      </c>
      <c r="D26" s="8" t="s">
        <v>32</v>
      </c>
      <c r="E26" s="13" t="s">
        <v>127</v>
      </c>
      <c r="F26" s="9" t="s">
        <v>128</v>
      </c>
      <c r="G26" s="8" t="s">
        <v>117</v>
      </c>
      <c r="H26" s="8">
        <v>2</v>
      </c>
      <c r="I26" s="8"/>
      <c r="J26" s="10">
        <v>3</v>
      </c>
      <c r="K26" s="8" t="s">
        <v>85</v>
      </c>
      <c r="L26" s="9" t="s">
        <v>54</v>
      </c>
      <c r="M26" s="11">
        <v>46309</v>
      </c>
      <c r="N26" s="12"/>
      <c r="O26" s="8" t="s">
        <v>50</v>
      </c>
      <c r="P26" s="8" t="s">
        <v>38</v>
      </c>
      <c r="Q26" s="9"/>
    </row>
    <row r="27" spans="1:17" ht="25.5" customHeight="1">
      <c r="A27" s="8" t="s">
        <v>129</v>
      </c>
      <c r="B27" s="8">
        <v>36</v>
      </c>
      <c r="C27" s="8">
        <v>32</v>
      </c>
      <c r="D27" s="8" t="s">
        <v>32</v>
      </c>
      <c r="E27" s="13" t="s">
        <v>130</v>
      </c>
      <c r="F27" s="9" t="s">
        <v>131</v>
      </c>
      <c r="G27" s="8" t="s">
        <v>117</v>
      </c>
      <c r="H27" s="8">
        <v>2</v>
      </c>
      <c r="I27" s="8"/>
      <c r="J27" s="10">
        <v>2</v>
      </c>
      <c r="K27" s="8" t="s">
        <v>85</v>
      </c>
      <c r="L27" s="9" t="s">
        <v>54</v>
      </c>
      <c r="M27" s="11">
        <v>46309</v>
      </c>
      <c r="N27" s="12"/>
      <c r="O27" s="8" t="s">
        <v>50</v>
      </c>
      <c r="P27" s="8" t="s">
        <v>38</v>
      </c>
      <c r="Q27" s="9"/>
    </row>
    <row r="28" spans="1:17" ht="51" customHeight="1">
      <c r="A28" s="8" t="s">
        <v>132</v>
      </c>
      <c r="B28" s="8">
        <v>121</v>
      </c>
      <c r="C28" s="8">
        <v>32</v>
      </c>
      <c r="D28" s="8" t="s">
        <v>32</v>
      </c>
      <c r="E28" s="13" t="s">
        <v>133</v>
      </c>
      <c r="F28" s="9" t="s">
        <v>134</v>
      </c>
      <c r="G28" s="8" t="s">
        <v>117</v>
      </c>
      <c r="H28" s="8">
        <v>2</v>
      </c>
      <c r="I28" s="8"/>
      <c r="J28" s="10">
        <v>2</v>
      </c>
      <c r="K28" s="8" t="s">
        <v>85</v>
      </c>
      <c r="L28" s="9" t="s">
        <v>54</v>
      </c>
      <c r="M28" s="11">
        <v>46309</v>
      </c>
      <c r="N28" s="12"/>
      <c r="O28" s="8" t="s">
        <v>50</v>
      </c>
      <c r="P28" s="8" t="s">
        <v>38</v>
      </c>
      <c r="Q28" s="9"/>
    </row>
    <row r="29" spans="1:17" ht="25.5" customHeight="1">
      <c r="A29" s="8" t="s">
        <v>135</v>
      </c>
      <c r="B29" s="8">
        <v>118</v>
      </c>
      <c r="C29" s="8"/>
      <c r="D29" s="8" t="s">
        <v>41</v>
      </c>
      <c r="E29" s="9" t="s">
        <v>136</v>
      </c>
      <c r="F29" s="9" t="s">
        <v>137</v>
      </c>
      <c r="G29" s="8" t="s">
        <v>136</v>
      </c>
      <c r="H29" s="8">
        <v>2</v>
      </c>
      <c r="I29" s="8">
        <v>1</v>
      </c>
      <c r="J29" s="10"/>
      <c r="K29" s="8" t="s">
        <v>99</v>
      </c>
      <c r="L29" s="9" t="s">
        <v>138</v>
      </c>
      <c r="M29" s="11">
        <v>46304</v>
      </c>
      <c r="N29" s="12"/>
      <c r="O29" s="8" t="s">
        <v>50</v>
      </c>
      <c r="P29" s="8" t="s">
        <v>38</v>
      </c>
      <c r="Q29" s="9"/>
    </row>
    <row r="30" spans="1:17" ht="38.25" customHeight="1">
      <c r="A30" s="8" t="s">
        <v>139</v>
      </c>
      <c r="B30" s="8">
        <v>119</v>
      </c>
      <c r="C30" s="8">
        <v>118</v>
      </c>
      <c r="D30" s="8" t="s">
        <v>32</v>
      </c>
      <c r="E30" s="13" t="s">
        <v>140</v>
      </c>
      <c r="F30" s="9" t="s">
        <v>141</v>
      </c>
      <c r="G30" s="8" t="s">
        <v>136</v>
      </c>
      <c r="H30" s="8">
        <v>2</v>
      </c>
      <c r="I30" s="8"/>
      <c r="J30" s="10">
        <v>0.5</v>
      </c>
      <c r="K30" s="8" t="s">
        <v>99</v>
      </c>
      <c r="L30" s="9" t="s">
        <v>54</v>
      </c>
      <c r="M30" s="11">
        <v>46304</v>
      </c>
      <c r="N30" s="12"/>
      <c r="O30" s="8" t="s">
        <v>50</v>
      </c>
      <c r="P30" s="8" t="s">
        <v>38</v>
      </c>
      <c r="Q30" s="9"/>
    </row>
    <row r="31" spans="1:17" ht="38.25" customHeight="1">
      <c r="A31" s="8" t="s">
        <v>142</v>
      </c>
      <c r="B31" s="8">
        <v>120</v>
      </c>
      <c r="C31" s="8">
        <v>118</v>
      </c>
      <c r="D31" s="8" t="s">
        <v>32</v>
      </c>
      <c r="E31" s="13" t="s">
        <v>143</v>
      </c>
      <c r="F31" s="9" t="s">
        <v>144</v>
      </c>
      <c r="G31" s="8" t="s">
        <v>136</v>
      </c>
      <c r="H31" s="8">
        <v>2</v>
      </c>
      <c r="I31" s="8"/>
      <c r="J31" s="10">
        <v>1.5</v>
      </c>
      <c r="K31" s="8" t="s">
        <v>99</v>
      </c>
      <c r="L31" s="9" t="s">
        <v>54</v>
      </c>
      <c r="M31" s="11">
        <v>46304</v>
      </c>
      <c r="N31" s="12"/>
      <c r="O31" s="8" t="s">
        <v>50</v>
      </c>
      <c r="P31" s="8" t="s">
        <v>38</v>
      </c>
      <c r="Q31" s="9"/>
    </row>
    <row r="32" spans="1:17" ht="25.5" customHeight="1">
      <c r="A32" s="8" t="s">
        <v>145</v>
      </c>
      <c r="B32" s="8">
        <v>37</v>
      </c>
      <c r="C32" s="8"/>
      <c r="D32" s="8" t="s">
        <v>41</v>
      </c>
      <c r="E32" s="9" t="s">
        <v>146</v>
      </c>
      <c r="F32" s="9" t="s">
        <v>147</v>
      </c>
      <c r="G32" s="8" t="s">
        <v>146</v>
      </c>
      <c r="H32" s="8">
        <v>2</v>
      </c>
      <c r="I32" s="8">
        <v>1</v>
      </c>
      <c r="J32" s="10"/>
      <c r="K32" s="8" t="s">
        <v>35</v>
      </c>
      <c r="L32" s="9" t="s">
        <v>148</v>
      </c>
      <c r="M32" s="11">
        <v>46301</v>
      </c>
      <c r="N32" s="12"/>
      <c r="O32" s="8" t="s">
        <v>50</v>
      </c>
      <c r="P32" s="8" t="s">
        <v>38</v>
      </c>
      <c r="Q32" s="9"/>
    </row>
    <row r="33" spans="1:17" ht="63.75" customHeight="1">
      <c r="A33" s="8" t="s">
        <v>149</v>
      </c>
      <c r="B33" s="8">
        <v>40</v>
      </c>
      <c r="C33" s="8">
        <v>37</v>
      </c>
      <c r="D33" s="8" t="s">
        <v>32</v>
      </c>
      <c r="E33" s="13" t="s">
        <v>150</v>
      </c>
      <c r="F33" s="9" t="s">
        <v>151</v>
      </c>
      <c r="G33" s="8" t="s">
        <v>146</v>
      </c>
      <c r="H33" s="8">
        <v>2</v>
      </c>
      <c r="I33" s="8"/>
      <c r="J33" s="10">
        <v>0.5</v>
      </c>
      <c r="K33" s="8" t="s">
        <v>35</v>
      </c>
      <c r="L33" s="9" t="s">
        <v>152</v>
      </c>
      <c r="M33" s="11">
        <v>46301</v>
      </c>
      <c r="N33" s="12"/>
      <c r="O33" s="8" t="s">
        <v>50</v>
      </c>
      <c r="P33" s="8" t="s">
        <v>38</v>
      </c>
      <c r="Q33" s="9"/>
    </row>
    <row r="34" spans="1:17" ht="25.5" customHeight="1">
      <c r="A34" s="8" t="s">
        <v>153</v>
      </c>
      <c r="B34" s="8">
        <v>42</v>
      </c>
      <c r="C34" s="8"/>
      <c r="D34" s="8" t="s">
        <v>41</v>
      </c>
      <c r="E34" s="9" t="s">
        <v>154</v>
      </c>
      <c r="F34" s="9" t="s">
        <v>155</v>
      </c>
      <c r="G34" s="8" t="s">
        <v>154</v>
      </c>
      <c r="H34" s="8">
        <v>2</v>
      </c>
      <c r="I34" s="8">
        <v>1</v>
      </c>
      <c r="J34" s="10"/>
      <c r="K34" s="8" t="s">
        <v>99</v>
      </c>
      <c r="L34" s="9" t="s">
        <v>156</v>
      </c>
      <c r="M34" s="11">
        <v>46304</v>
      </c>
      <c r="N34" s="12"/>
      <c r="O34" s="8" t="s">
        <v>50</v>
      </c>
      <c r="P34" s="8" t="s">
        <v>38</v>
      </c>
      <c r="Q34" s="9"/>
    </row>
    <row r="35" spans="1:17" ht="25.5" customHeight="1">
      <c r="A35" s="8" t="s">
        <v>157</v>
      </c>
      <c r="B35" s="8">
        <v>43</v>
      </c>
      <c r="C35" s="8">
        <v>42</v>
      </c>
      <c r="D35" s="8" t="s">
        <v>32</v>
      </c>
      <c r="E35" s="13" t="s">
        <v>158</v>
      </c>
      <c r="F35" s="9" t="s">
        <v>159</v>
      </c>
      <c r="G35" s="8" t="s">
        <v>154</v>
      </c>
      <c r="H35" s="8">
        <v>2</v>
      </c>
      <c r="I35" s="8"/>
      <c r="J35" s="10">
        <v>0.5</v>
      </c>
      <c r="K35" s="8" t="s">
        <v>99</v>
      </c>
      <c r="L35" s="9" t="s">
        <v>152</v>
      </c>
      <c r="M35" s="11">
        <v>46304</v>
      </c>
      <c r="N35" s="12"/>
      <c r="O35" s="8" t="s">
        <v>50</v>
      </c>
      <c r="P35" s="8" t="s">
        <v>38</v>
      </c>
      <c r="Q35" s="9"/>
    </row>
    <row r="36" spans="1:17" ht="25.5" customHeight="1">
      <c r="A36" s="8" t="s">
        <v>160</v>
      </c>
      <c r="B36" s="8">
        <v>49</v>
      </c>
      <c r="C36" s="8"/>
      <c r="D36" s="8" t="s">
        <v>41</v>
      </c>
      <c r="E36" s="9" t="s">
        <v>161</v>
      </c>
      <c r="F36" s="9" t="s">
        <v>162</v>
      </c>
      <c r="G36" s="8" t="s">
        <v>161</v>
      </c>
      <c r="H36" s="8">
        <v>2</v>
      </c>
      <c r="I36" s="8">
        <v>3</v>
      </c>
      <c r="J36" s="10"/>
      <c r="K36" s="8" t="s">
        <v>35</v>
      </c>
      <c r="L36" s="9" t="s">
        <v>163</v>
      </c>
      <c r="M36" s="11">
        <v>46304</v>
      </c>
      <c r="N36" s="12"/>
      <c r="O36" s="8" t="s">
        <v>50</v>
      </c>
      <c r="P36" s="8" t="s">
        <v>38</v>
      </c>
      <c r="Q36" s="9"/>
    </row>
    <row r="37" spans="1:17" ht="51" customHeight="1">
      <c r="A37" s="8" t="s">
        <v>164</v>
      </c>
      <c r="B37" s="8">
        <v>50</v>
      </c>
      <c r="C37" s="8">
        <v>49</v>
      </c>
      <c r="D37" s="8" t="s">
        <v>32</v>
      </c>
      <c r="E37" s="13" t="s">
        <v>165</v>
      </c>
      <c r="F37" s="9" t="s">
        <v>166</v>
      </c>
      <c r="G37" s="8" t="s">
        <v>161</v>
      </c>
      <c r="H37" s="8">
        <v>2</v>
      </c>
      <c r="I37" s="8"/>
      <c r="J37" s="10">
        <v>1</v>
      </c>
      <c r="K37" s="8" t="s">
        <v>35</v>
      </c>
      <c r="L37" s="9" t="s">
        <v>167</v>
      </c>
      <c r="M37" s="11">
        <v>46304</v>
      </c>
      <c r="N37" s="12"/>
      <c r="O37" s="8" t="s">
        <v>50</v>
      </c>
      <c r="P37" s="8" t="s">
        <v>38</v>
      </c>
      <c r="Q37" s="9"/>
    </row>
    <row r="38" spans="1:17" ht="25.5" customHeight="1">
      <c r="A38" s="8" t="s">
        <v>168</v>
      </c>
      <c r="B38" s="8">
        <v>51</v>
      </c>
      <c r="C38" s="8">
        <v>49</v>
      </c>
      <c r="D38" s="8" t="s">
        <v>32</v>
      </c>
      <c r="E38" s="13" t="s">
        <v>169</v>
      </c>
      <c r="F38" s="9" t="s">
        <v>170</v>
      </c>
      <c r="G38" s="8" t="s">
        <v>161</v>
      </c>
      <c r="H38" s="8">
        <v>2</v>
      </c>
      <c r="I38" s="8"/>
      <c r="J38" s="10">
        <v>1</v>
      </c>
      <c r="K38" s="8" t="s">
        <v>35</v>
      </c>
      <c r="L38" s="9" t="s">
        <v>167</v>
      </c>
      <c r="M38" s="11">
        <v>46304</v>
      </c>
      <c r="N38" s="12"/>
      <c r="O38" s="8" t="s">
        <v>50</v>
      </c>
      <c r="P38" s="8" t="s">
        <v>38</v>
      </c>
      <c r="Q38" s="9"/>
    </row>
    <row r="39" spans="1:17" ht="38.25" customHeight="1">
      <c r="A39" s="8" t="s">
        <v>171</v>
      </c>
      <c r="B39" s="8">
        <v>52</v>
      </c>
      <c r="C39" s="8">
        <v>49</v>
      </c>
      <c r="D39" s="8" t="s">
        <v>32</v>
      </c>
      <c r="E39" s="13" t="s">
        <v>172</v>
      </c>
      <c r="F39" s="9" t="s">
        <v>173</v>
      </c>
      <c r="G39" s="8" t="s">
        <v>161</v>
      </c>
      <c r="H39" s="8">
        <v>2</v>
      </c>
      <c r="I39" s="8"/>
      <c r="J39" s="10">
        <v>1</v>
      </c>
      <c r="K39" s="8" t="s">
        <v>35</v>
      </c>
      <c r="L39" s="9" t="s">
        <v>167</v>
      </c>
      <c r="M39" s="11">
        <v>46304</v>
      </c>
      <c r="N39" s="12"/>
      <c r="O39" s="8" t="s">
        <v>50</v>
      </c>
      <c r="P39" s="8" t="s">
        <v>38</v>
      </c>
      <c r="Q39" s="9"/>
    </row>
    <row r="40" spans="1:17" ht="25.5" customHeight="1">
      <c r="A40" s="8" t="s">
        <v>174</v>
      </c>
      <c r="B40" s="8">
        <v>53</v>
      </c>
      <c r="C40" s="8">
        <v>49</v>
      </c>
      <c r="D40" s="8" t="s">
        <v>32</v>
      </c>
      <c r="E40" s="13" t="s">
        <v>175</v>
      </c>
      <c r="F40" s="9" t="s">
        <v>176</v>
      </c>
      <c r="G40" s="8" t="s">
        <v>161</v>
      </c>
      <c r="H40" s="8">
        <v>2</v>
      </c>
      <c r="I40" s="8"/>
      <c r="J40" s="10">
        <v>0.5</v>
      </c>
      <c r="K40" s="8" t="s">
        <v>35</v>
      </c>
      <c r="L40" s="9" t="s">
        <v>167</v>
      </c>
      <c r="M40" s="11">
        <v>46304</v>
      </c>
      <c r="N40" s="12"/>
      <c r="O40" s="8" t="s">
        <v>50</v>
      </c>
      <c r="P40" s="8" t="s">
        <v>38</v>
      </c>
      <c r="Q40" s="9"/>
    </row>
    <row r="41" spans="1:17" ht="38.25" customHeight="1">
      <c r="A41" s="8" t="s">
        <v>177</v>
      </c>
      <c r="B41" s="8">
        <v>54</v>
      </c>
      <c r="C41" s="8"/>
      <c r="D41" s="8" t="s">
        <v>41</v>
      </c>
      <c r="E41" s="9" t="s">
        <v>178</v>
      </c>
      <c r="F41" s="9" t="s">
        <v>179</v>
      </c>
      <c r="G41" s="8" t="s">
        <v>178</v>
      </c>
      <c r="H41" s="8">
        <v>2</v>
      </c>
      <c r="I41" s="8">
        <v>3</v>
      </c>
      <c r="J41" s="10"/>
      <c r="K41" s="8" t="s">
        <v>35</v>
      </c>
      <c r="L41" s="9" t="s">
        <v>180</v>
      </c>
      <c r="M41" s="11">
        <v>46303</v>
      </c>
      <c r="N41" s="12"/>
      <c r="O41" s="8" t="s">
        <v>50</v>
      </c>
      <c r="P41" s="8" t="s">
        <v>38</v>
      </c>
      <c r="Q41" s="9"/>
    </row>
    <row r="42" spans="1:17" ht="51" customHeight="1">
      <c r="A42" s="8" t="s">
        <v>181</v>
      </c>
      <c r="B42" s="8">
        <v>55</v>
      </c>
      <c r="C42" s="8">
        <v>54</v>
      </c>
      <c r="D42" s="8" t="s">
        <v>32</v>
      </c>
      <c r="E42" s="13" t="s">
        <v>182</v>
      </c>
      <c r="F42" s="9" t="s">
        <v>183</v>
      </c>
      <c r="G42" s="8" t="s">
        <v>178</v>
      </c>
      <c r="H42" s="8">
        <v>2</v>
      </c>
      <c r="I42" s="8"/>
      <c r="J42" s="10">
        <v>2</v>
      </c>
      <c r="K42" s="8" t="s">
        <v>35</v>
      </c>
      <c r="L42" s="9" t="s">
        <v>167</v>
      </c>
      <c r="M42" s="11">
        <v>46303</v>
      </c>
      <c r="N42" s="12"/>
      <c r="O42" s="8" t="s">
        <v>50</v>
      </c>
      <c r="P42" s="8" t="s">
        <v>38</v>
      </c>
      <c r="Q42" s="9"/>
    </row>
    <row r="43" spans="1:17" ht="51" customHeight="1">
      <c r="A43" s="8" t="s">
        <v>29</v>
      </c>
      <c r="B43" s="8">
        <v>56</v>
      </c>
      <c r="C43" s="8">
        <v>54</v>
      </c>
      <c r="D43" s="8" t="s">
        <v>32</v>
      </c>
      <c r="E43" s="13" t="s">
        <v>184</v>
      </c>
      <c r="F43" s="9" t="s">
        <v>185</v>
      </c>
      <c r="G43" s="8" t="s">
        <v>178</v>
      </c>
      <c r="H43" s="8">
        <v>2</v>
      </c>
      <c r="I43" s="8"/>
      <c r="J43" s="10">
        <v>2</v>
      </c>
      <c r="K43" s="8" t="s">
        <v>35</v>
      </c>
      <c r="L43" s="9" t="s">
        <v>167</v>
      </c>
      <c r="M43" s="11">
        <v>46303</v>
      </c>
      <c r="N43" s="12"/>
      <c r="O43" s="8" t="s">
        <v>50</v>
      </c>
      <c r="P43" s="8" t="s">
        <v>38</v>
      </c>
      <c r="Q43" s="9"/>
    </row>
    <row r="44" spans="1:17" ht="25.5" customHeight="1">
      <c r="A44" s="8" t="s">
        <v>186</v>
      </c>
      <c r="B44" s="8">
        <v>57</v>
      </c>
      <c r="C44" s="8">
        <v>54</v>
      </c>
      <c r="D44" s="8" t="s">
        <v>32</v>
      </c>
      <c r="E44" s="13" t="s">
        <v>187</v>
      </c>
      <c r="F44" s="9" t="s">
        <v>188</v>
      </c>
      <c r="G44" s="8" t="s">
        <v>178</v>
      </c>
      <c r="H44" s="8">
        <v>2</v>
      </c>
      <c r="I44" s="8"/>
      <c r="J44" s="10">
        <v>2</v>
      </c>
      <c r="K44" s="8" t="s">
        <v>35</v>
      </c>
      <c r="L44" s="9" t="s">
        <v>167</v>
      </c>
      <c r="M44" s="11">
        <v>46303</v>
      </c>
      <c r="N44" s="12"/>
      <c r="O44" s="8" t="s">
        <v>50</v>
      </c>
      <c r="P44" s="8" t="s">
        <v>38</v>
      </c>
      <c r="Q44" s="9"/>
    </row>
    <row r="45" spans="1:17" ht="25.5" customHeight="1">
      <c r="A45" s="8" t="s">
        <v>189</v>
      </c>
      <c r="B45" s="8">
        <v>58</v>
      </c>
      <c r="C45" s="8">
        <v>54</v>
      </c>
      <c r="D45" s="8" t="s">
        <v>32</v>
      </c>
      <c r="E45" s="13" t="s">
        <v>190</v>
      </c>
      <c r="F45" s="9" t="s">
        <v>191</v>
      </c>
      <c r="G45" s="8" t="s">
        <v>178</v>
      </c>
      <c r="H45" s="8">
        <v>2</v>
      </c>
      <c r="I45" s="8"/>
      <c r="J45" s="10">
        <v>1</v>
      </c>
      <c r="K45" s="8" t="s">
        <v>35</v>
      </c>
      <c r="L45" s="9" t="s">
        <v>167</v>
      </c>
      <c r="M45" s="11">
        <v>46303</v>
      </c>
      <c r="N45" s="12"/>
      <c r="O45" s="8" t="s">
        <v>50</v>
      </c>
      <c r="P45" s="8" t="s">
        <v>38</v>
      </c>
      <c r="Q45" s="9"/>
    </row>
    <row r="46" spans="1:17" ht="38.25" customHeight="1">
      <c r="A46" s="8" t="s">
        <v>192</v>
      </c>
      <c r="B46" s="8">
        <v>59</v>
      </c>
      <c r="C46" s="8"/>
      <c r="D46" s="8" t="s">
        <v>41</v>
      </c>
      <c r="E46" s="9" t="s">
        <v>193</v>
      </c>
      <c r="F46" s="9" t="s">
        <v>194</v>
      </c>
      <c r="G46" s="8" t="s">
        <v>193</v>
      </c>
      <c r="H46" s="8">
        <v>2</v>
      </c>
      <c r="I46" s="8">
        <v>3</v>
      </c>
      <c r="J46" s="10"/>
      <c r="K46" s="8" t="s">
        <v>85</v>
      </c>
      <c r="L46" s="9" t="s">
        <v>195</v>
      </c>
      <c r="M46" s="11">
        <v>46307</v>
      </c>
      <c r="N46" s="12"/>
      <c r="O46" s="8" t="s">
        <v>50</v>
      </c>
      <c r="P46" s="8" t="s">
        <v>38</v>
      </c>
      <c r="Q46" s="9"/>
    </row>
    <row r="47" spans="1:17" ht="38.25" customHeight="1">
      <c r="A47" s="8" t="s">
        <v>196</v>
      </c>
      <c r="B47" s="8">
        <v>60</v>
      </c>
      <c r="C47" s="8">
        <v>59</v>
      </c>
      <c r="D47" s="8" t="s">
        <v>32</v>
      </c>
      <c r="E47" s="13" t="s">
        <v>197</v>
      </c>
      <c r="F47" s="9" t="s">
        <v>198</v>
      </c>
      <c r="G47" s="8" t="s">
        <v>193</v>
      </c>
      <c r="H47" s="8">
        <v>2</v>
      </c>
      <c r="I47" s="8"/>
      <c r="J47" s="10">
        <v>2</v>
      </c>
      <c r="K47" s="8" t="s">
        <v>85</v>
      </c>
      <c r="L47" s="9" t="s">
        <v>167</v>
      </c>
      <c r="M47" s="11">
        <v>46307</v>
      </c>
      <c r="N47" s="12"/>
      <c r="O47" s="8" t="s">
        <v>50</v>
      </c>
      <c r="P47" s="8" t="s">
        <v>38</v>
      </c>
      <c r="Q47" s="9"/>
    </row>
    <row r="48" spans="1:17" ht="38.25" customHeight="1">
      <c r="A48" s="8" t="s">
        <v>199</v>
      </c>
      <c r="B48" s="8">
        <v>61</v>
      </c>
      <c r="C48" s="8">
        <v>59</v>
      </c>
      <c r="D48" s="8" t="s">
        <v>32</v>
      </c>
      <c r="E48" s="13" t="s">
        <v>200</v>
      </c>
      <c r="F48" s="9" t="s">
        <v>201</v>
      </c>
      <c r="G48" s="8" t="s">
        <v>193</v>
      </c>
      <c r="H48" s="8">
        <v>2</v>
      </c>
      <c r="I48" s="8"/>
      <c r="J48" s="10">
        <v>2</v>
      </c>
      <c r="K48" s="8" t="s">
        <v>85</v>
      </c>
      <c r="L48" s="9" t="s">
        <v>167</v>
      </c>
      <c r="M48" s="11">
        <v>46307</v>
      </c>
      <c r="N48" s="12"/>
      <c r="O48" s="8" t="s">
        <v>50</v>
      </c>
      <c r="P48" s="8" t="s">
        <v>38</v>
      </c>
      <c r="Q48" s="9"/>
    </row>
    <row r="49" spans="1:17" ht="38.25" customHeight="1">
      <c r="A49" s="8" t="s">
        <v>202</v>
      </c>
      <c r="B49" s="8">
        <v>62</v>
      </c>
      <c r="C49" s="8">
        <v>59</v>
      </c>
      <c r="D49" s="8" t="s">
        <v>32</v>
      </c>
      <c r="E49" s="13" t="s">
        <v>203</v>
      </c>
      <c r="F49" s="9" t="s">
        <v>204</v>
      </c>
      <c r="G49" s="8" t="s">
        <v>193</v>
      </c>
      <c r="H49" s="8">
        <v>2</v>
      </c>
      <c r="I49" s="8"/>
      <c r="J49" s="10">
        <v>2</v>
      </c>
      <c r="K49" s="8" t="s">
        <v>85</v>
      </c>
      <c r="L49" s="9" t="s">
        <v>167</v>
      </c>
      <c r="M49" s="11">
        <v>46307</v>
      </c>
      <c r="N49" s="12"/>
      <c r="O49" s="8" t="s">
        <v>50</v>
      </c>
      <c r="P49" s="8" t="s">
        <v>38</v>
      </c>
      <c r="Q49" s="9"/>
    </row>
    <row r="50" spans="1:17" ht="89.25" customHeight="1">
      <c r="A50" s="8" t="s">
        <v>205</v>
      </c>
      <c r="B50" s="8">
        <v>64</v>
      </c>
      <c r="C50" s="8"/>
      <c r="D50" s="8" t="s">
        <v>41</v>
      </c>
      <c r="E50" s="9" t="s">
        <v>206</v>
      </c>
      <c r="F50" s="9" t="s">
        <v>207</v>
      </c>
      <c r="G50" s="8" t="s">
        <v>206</v>
      </c>
      <c r="H50" s="8">
        <v>2</v>
      </c>
      <c r="I50" s="8">
        <v>5</v>
      </c>
      <c r="J50" s="10"/>
      <c r="K50" s="8" t="s">
        <v>35</v>
      </c>
      <c r="L50" s="9" t="s">
        <v>208</v>
      </c>
      <c r="M50" s="11">
        <v>46310</v>
      </c>
      <c r="N50" s="12"/>
      <c r="O50" s="8" t="s">
        <v>50</v>
      </c>
      <c r="P50" s="8" t="s">
        <v>38</v>
      </c>
      <c r="Q50" s="9"/>
    </row>
    <row r="51" spans="1:17" ht="25.5" customHeight="1">
      <c r="A51" s="8" t="s">
        <v>209</v>
      </c>
      <c r="B51" s="8">
        <v>65</v>
      </c>
      <c r="C51" s="8">
        <v>64</v>
      </c>
      <c r="D51" s="8" t="s">
        <v>32</v>
      </c>
      <c r="E51" s="13" t="s">
        <v>210</v>
      </c>
      <c r="F51" s="9" t="s">
        <v>211</v>
      </c>
      <c r="G51" s="8" t="s">
        <v>206</v>
      </c>
      <c r="H51" s="8">
        <v>2</v>
      </c>
      <c r="I51" s="8"/>
      <c r="J51" s="10">
        <v>8</v>
      </c>
      <c r="K51" s="8" t="s">
        <v>35</v>
      </c>
      <c r="L51" s="9" t="s">
        <v>167</v>
      </c>
      <c r="M51" s="11">
        <v>46310</v>
      </c>
      <c r="N51" s="12"/>
      <c r="O51" s="8" t="s">
        <v>50</v>
      </c>
      <c r="P51" s="8" t="s">
        <v>38</v>
      </c>
      <c r="Q51" s="9"/>
    </row>
    <row r="52" spans="1:17" ht="38.25" customHeight="1">
      <c r="A52" s="8" t="s">
        <v>212</v>
      </c>
      <c r="B52" s="8">
        <v>66</v>
      </c>
      <c r="C52" s="8">
        <v>64</v>
      </c>
      <c r="D52" s="8" t="s">
        <v>32</v>
      </c>
      <c r="E52" s="13" t="s">
        <v>213</v>
      </c>
      <c r="F52" s="9" t="s">
        <v>214</v>
      </c>
      <c r="G52" s="8" t="s">
        <v>206</v>
      </c>
      <c r="H52" s="8">
        <v>2</v>
      </c>
      <c r="I52" s="8"/>
      <c r="J52" s="10">
        <v>3</v>
      </c>
      <c r="K52" s="8" t="s">
        <v>35</v>
      </c>
      <c r="L52" s="9" t="s">
        <v>167</v>
      </c>
      <c r="M52" s="11">
        <v>46310</v>
      </c>
      <c r="N52" s="12"/>
      <c r="O52" s="8" t="s">
        <v>50</v>
      </c>
      <c r="P52" s="8" t="s">
        <v>38</v>
      </c>
      <c r="Q52" s="9"/>
    </row>
    <row r="53" spans="1:17" ht="25.5" customHeight="1">
      <c r="A53" s="8" t="s">
        <v>215</v>
      </c>
      <c r="B53" s="8">
        <v>67</v>
      </c>
      <c r="C53" s="8"/>
      <c r="D53" s="8" t="s">
        <v>41</v>
      </c>
      <c r="E53" s="9" t="s">
        <v>216</v>
      </c>
      <c r="F53" s="9" t="s">
        <v>217</v>
      </c>
      <c r="G53" s="8" t="s">
        <v>216</v>
      </c>
      <c r="H53" s="8">
        <v>2</v>
      </c>
      <c r="I53" s="8">
        <v>5</v>
      </c>
      <c r="J53" s="10"/>
      <c r="K53" s="8" t="s">
        <v>35</v>
      </c>
      <c r="L53" s="9" t="s">
        <v>218</v>
      </c>
      <c r="M53" s="11">
        <v>46311</v>
      </c>
      <c r="N53" s="12"/>
      <c r="O53" s="8" t="s">
        <v>50</v>
      </c>
      <c r="P53" s="8" t="s">
        <v>38</v>
      </c>
      <c r="Q53" s="9"/>
    </row>
    <row r="54" spans="1:17" ht="25.5" customHeight="1">
      <c r="A54" s="8" t="s">
        <v>219</v>
      </c>
      <c r="B54" s="8">
        <v>68</v>
      </c>
      <c r="C54" s="8">
        <v>67</v>
      </c>
      <c r="D54" s="8" t="s">
        <v>32</v>
      </c>
      <c r="E54" s="13" t="s">
        <v>220</v>
      </c>
      <c r="F54" s="9" t="s">
        <v>221</v>
      </c>
      <c r="G54" s="8" t="s">
        <v>216</v>
      </c>
      <c r="H54" s="8">
        <v>2</v>
      </c>
      <c r="I54" s="8"/>
      <c r="J54" s="10">
        <v>4</v>
      </c>
      <c r="K54" s="8" t="s">
        <v>35</v>
      </c>
      <c r="L54" s="9" t="s">
        <v>167</v>
      </c>
      <c r="M54" s="11">
        <v>46311</v>
      </c>
      <c r="N54" s="12"/>
      <c r="O54" s="8" t="s">
        <v>50</v>
      </c>
      <c r="P54" s="8" t="s">
        <v>38</v>
      </c>
      <c r="Q54" s="9"/>
    </row>
    <row r="55" spans="1:17" ht="76.5" customHeight="1">
      <c r="A55" s="8" t="s">
        <v>222</v>
      </c>
      <c r="B55" s="8">
        <v>69</v>
      </c>
      <c r="C55" s="8">
        <v>67</v>
      </c>
      <c r="D55" s="8" t="s">
        <v>32</v>
      </c>
      <c r="E55" s="13" t="s">
        <v>223</v>
      </c>
      <c r="F55" s="9" t="s">
        <v>224</v>
      </c>
      <c r="G55" s="8" t="s">
        <v>216</v>
      </c>
      <c r="H55" s="8">
        <v>2</v>
      </c>
      <c r="I55" s="8"/>
      <c r="J55" s="10">
        <v>2</v>
      </c>
      <c r="K55" s="8" t="s">
        <v>35</v>
      </c>
      <c r="L55" s="9" t="s">
        <v>167</v>
      </c>
      <c r="M55" s="11">
        <v>46311</v>
      </c>
      <c r="N55" s="12"/>
      <c r="O55" s="8" t="s">
        <v>50</v>
      </c>
      <c r="P55" s="8" t="s">
        <v>38</v>
      </c>
      <c r="Q55" s="9"/>
    </row>
    <row r="56" spans="1:17" ht="38.25" customHeight="1">
      <c r="A56" s="8" t="s">
        <v>225</v>
      </c>
      <c r="B56" s="8">
        <v>70</v>
      </c>
      <c r="C56" s="8">
        <v>67</v>
      </c>
      <c r="D56" s="8" t="s">
        <v>32</v>
      </c>
      <c r="E56" s="13" t="s">
        <v>226</v>
      </c>
      <c r="F56" s="9" t="s">
        <v>227</v>
      </c>
      <c r="G56" s="8" t="s">
        <v>216</v>
      </c>
      <c r="H56" s="8">
        <v>2</v>
      </c>
      <c r="I56" s="8"/>
      <c r="J56" s="10">
        <v>1.5</v>
      </c>
      <c r="K56" s="8" t="s">
        <v>35</v>
      </c>
      <c r="L56" s="9" t="s">
        <v>167</v>
      </c>
      <c r="M56" s="11">
        <v>46311</v>
      </c>
      <c r="N56" s="12"/>
      <c r="O56" s="8" t="s">
        <v>50</v>
      </c>
      <c r="P56" s="8" t="s">
        <v>38</v>
      </c>
      <c r="Q56" s="9"/>
    </row>
    <row r="57" spans="1:17" ht="25.5" customHeight="1">
      <c r="A57" s="8" t="s">
        <v>228</v>
      </c>
      <c r="B57" s="8">
        <v>127</v>
      </c>
      <c r="C57" s="8">
        <v>67</v>
      </c>
      <c r="D57" s="8" t="s">
        <v>32</v>
      </c>
      <c r="E57" s="13" t="s">
        <v>229</v>
      </c>
      <c r="F57" s="9" t="s">
        <v>230</v>
      </c>
      <c r="G57" s="8" t="s">
        <v>216</v>
      </c>
      <c r="H57" s="8">
        <v>2</v>
      </c>
      <c r="I57" s="8"/>
      <c r="J57" s="10">
        <v>1</v>
      </c>
      <c r="K57" s="8" t="s">
        <v>35</v>
      </c>
      <c r="L57" s="9" t="s">
        <v>167</v>
      </c>
      <c r="M57" s="11">
        <v>46311</v>
      </c>
      <c r="N57" s="12"/>
      <c r="O57" s="8" t="s">
        <v>50</v>
      </c>
      <c r="P57" s="8" t="s">
        <v>38</v>
      </c>
      <c r="Q57" s="9"/>
    </row>
    <row r="58" spans="1:17" ht="38.25" customHeight="1">
      <c r="A58" s="8" t="s">
        <v>231</v>
      </c>
      <c r="B58" s="8">
        <v>71</v>
      </c>
      <c r="C58" s="8"/>
      <c r="D58" s="8" t="s">
        <v>41</v>
      </c>
      <c r="E58" s="9" t="s">
        <v>232</v>
      </c>
      <c r="F58" s="9" t="s">
        <v>233</v>
      </c>
      <c r="G58" s="8" t="s">
        <v>232</v>
      </c>
      <c r="H58" s="8">
        <v>2</v>
      </c>
      <c r="I58" s="8">
        <v>3</v>
      </c>
      <c r="J58" s="10"/>
      <c r="K58" s="8" t="s">
        <v>99</v>
      </c>
      <c r="L58" s="9" t="s">
        <v>234</v>
      </c>
      <c r="M58" s="11">
        <v>46311</v>
      </c>
      <c r="N58" s="12"/>
      <c r="O58" s="8" t="s">
        <v>50</v>
      </c>
      <c r="P58" s="8" t="s">
        <v>38</v>
      </c>
      <c r="Q58" s="9"/>
    </row>
    <row r="59" spans="1:17" ht="25.5" customHeight="1">
      <c r="A59" s="8" t="s">
        <v>235</v>
      </c>
      <c r="B59" s="8">
        <v>72</v>
      </c>
      <c r="C59" s="8">
        <v>71</v>
      </c>
      <c r="D59" s="8" t="s">
        <v>32</v>
      </c>
      <c r="E59" s="13" t="s">
        <v>236</v>
      </c>
      <c r="F59" s="9" t="s">
        <v>237</v>
      </c>
      <c r="G59" s="8" t="s">
        <v>232</v>
      </c>
      <c r="H59" s="8">
        <v>2</v>
      </c>
      <c r="I59" s="8"/>
      <c r="J59" s="10">
        <v>4</v>
      </c>
      <c r="K59" s="8" t="s">
        <v>99</v>
      </c>
      <c r="L59" s="9" t="s">
        <v>167</v>
      </c>
      <c r="M59" s="11">
        <v>46311</v>
      </c>
      <c r="N59" s="12"/>
      <c r="O59" s="8" t="s">
        <v>50</v>
      </c>
      <c r="P59" s="8" t="s">
        <v>38</v>
      </c>
      <c r="Q59" s="9"/>
    </row>
    <row r="60" spans="1:17" ht="38.25" customHeight="1">
      <c r="A60" s="8" t="s">
        <v>238</v>
      </c>
      <c r="B60" s="8">
        <v>73</v>
      </c>
      <c r="C60" s="8">
        <v>71</v>
      </c>
      <c r="D60" s="8" t="s">
        <v>32</v>
      </c>
      <c r="E60" s="13" t="s">
        <v>239</v>
      </c>
      <c r="F60" s="9" t="s">
        <v>240</v>
      </c>
      <c r="G60" s="8" t="s">
        <v>232</v>
      </c>
      <c r="H60" s="8">
        <v>2</v>
      </c>
      <c r="I60" s="8"/>
      <c r="J60" s="10">
        <v>1</v>
      </c>
      <c r="K60" s="8" t="s">
        <v>99</v>
      </c>
      <c r="L60" s="9" t="s">
        <v>167</v>
      </c>
      <c r="M60" s="11">
        <v>46311</v>
      </c>
      <c r="N60" s="12"/>
      <c r="O60" s="8" t="s">
        <v>50</v>
      </c>
      <c r="P60" s="8" t="s">
        <v>38</v>
      </c>
      <c r="Q60" s="9"/>
    </row>
    <row r="61" spans="1:17" ht="38.25" customHeight="1">
      <c r="A61" s="8" t="s">
        <v>241</v>
      </c>
      <c r="B61" s="8">
        <v>74</v>
      </c>
      <c r="C61" s="8"/>
      <c r="D61" s="8" t="s">
        <v>41</v>
      </c>
      <c r="E61" s="9" t="s">
        <v>242</v>
      </c>
      <c r="F61" s="9" t="s">
        <v>243</v>
      </c>
      <c r="G61" s="8" t="s">
        <v>242</v>
      </c>
      <c r="H61" s="8">
        <v>2</v>
      </c>
      <c r="I61" s="8">
        <v>5</v>
      </c>
      <c r="J61" s="10"/>
      <c r="K61" s="8" t="s">
        <v>85</v>
      </c>
      <c r="L61" s="9" t="s">
        <v>244</v>
      </c>
      <c r="M61" s="11">
        <v>46311</v>
      </c>
      <c r="N61" s="12"/>
      <c r="O61" s="8" t="s">
        <v>50</v>
      </c>
      <c r="P61" s="8" t="s">
        <v>38</v>
      </c>
      <c r="Q61" s="9"/>
    </row>
    <row r="62" spans="1:17" ht="25.5" customHeight="1">
      <c r="A62" s="8" t="s">
        <v>245</v>
      </c>
      <c r="B62" s="8">
        <v>75</v>
      </c>
      <c r="C62" s="8">
        <v>74</v>
      </c>
      <c r="D62" s="8" t="s">
        <v>32</v>
      </c>
      <c r="E62" s="13" t="s">
        <v>246</v>
      </c>
      <c r="F62" s="9" t="s">
        <v>247</v>
      </c>
      <c r="G62" s="8" t="s">
        <v>242</v>
      </c>
      <c r="H62" s="8">
        <v>2</v>
      </c>
      <c r="I62" s="8"/>
      <c r="J62" s="10">
        <v>1</v>
      </c>
      <c r="K62" s="8" t="s">
        <v>85</v>
      </c>
      <c r="L62" s="9" t="s">
        <v>167</v>
      </c>
      <c r="M62" s="11">
        <v>46311</v>
      </c>
      <c r="N62" s="12"/>
      <c r="O62" s="8" t="s">
        <v>50</v>
      </c>
      <c r="P62" s="8" t="s">
        <v>38</v>
      </c>
      <c r="Q62" s="9"/>
    </row>
    <row r="63" spans="1:17" ht="25.5" customHeight="1">
      <c r="A63" s="8" t="s">
        <v>248</v>
      </c>
      <c r="B63" s="8">
        <v>76</v>
      </c>
      <c r="C63" s="8">
        <v>74</v>
      </c>
      <c r="D63" s="8" t="s">
        <v>32</v>
      </c>
      <c r="E63" s="13" t="s">
        <v>249</v>
      </c>
      <c r="F63" s="9" t="s">
        <v>250</v>
      </c>
      <c r="G63" s="8" t="s">
        <v>242</v>
      </c>
      <c r="H63" s="8">
        <v>2</v>
      </c>
      <c r="I63" s="8"/>
      <c r="J63" s="10">
        <v>1.5</v>
      </c>
      <c r="K63" s="8" t="s">
        <v>85</v>
      </c>
      <c r="L63" s="9" t="s">
        <v>167</v>
      </c>
      <c r="M63" s="11">
        <v>46311</v>
      </c>
      <c r="N63" s="12"/>
      <c r="O63" s="8" t="s">
        <v>50</v>
      </c>
      <c r="P63" s="8" t="s">
        <v>38</v>
      </c>
      <c r="Q63" s="9"/>
    </row>
    <row r="64" spans="1:17" ht="25.5" customHeight="1">
      <c r="A64" s="8" t="s">
        <v>251</v>
      </c>
      <c r="B64" s="8">
        <v>77</v>
      </c>
      <c r="C64" s="8">
        <v>74</v>
      </c>
      <c r="D64" s="8" t="s">
        <v>32</v>
      </c>
      <c r="E64" s="13" t="s">
        <v>252</v>
      </c>
      <c r="F64" s="9" t="s">
        <v>253</v>
      </c>
      <c r="G64" s="8" t="s">
        <v>242</v>
      </c>
      <c r="H64" s="8">
        <v>2</v>
      </c>
      <c r="I64" s="8"/>
      <c r="J64" s="10">
        <v>4</v>
      </c>
      <c r="K64" s="8" t="s">
        <v>85</v>
      </c>
      <c r="L64" s="9" t="s">
        <v>167</v>
      </c>
      <c r="M64" s="11">
        <v>46311</v>
      </c>
      <c r="N64" s="12"/>
      <c r="O64" s="8" t="s">
        <v>50</v>
      </c>
      <c r="P64" s="8" t="s">
        <v>38</v>
      </c>
      <c r="Q64" s="9"/>
    </row>
    <row r="65" spans="1:17" ht="38.25" customHeight="1">
      <c r="A65" s="8" t="s">
        <v>254</v>
      </c>
      <c r="B65" s="8">
        <v>78</v>
      </c>
      <c r="C65" s="8">
        <v>74</v>
      </c>
      <c r="D65" s="8" t="s">
        <v>32</v>
      </c>
      <c r="E65" s="13" t="s">
        <v>255</v>
      </c>
      <c r="F65" s="9" t="s">
        <v>256</v>
      </c>
      <c r="G65" s="8" t="s">
        <v>242</v>
      </c>
      <c r="H65" s="8">
        <v>2</v>
      </c>
      <c r="I65" s="8"/>
      <c r="J65" s="10">
        <v>2</v>
      </c>
      <c r="K65" s="8" t="s">
        <v>85</v>
      </c>
      <c r="L65" s="9" t="s">
        <v>167</v>
      </c>
      <c r="M65" s="11">
        <v>46311</v>
      </c>
      <c r="N65" s="12"/>
      <c r="O65" s="8" t="s">
        <v>50</v>
      </c>
      <c r="P65" s="8" t="s">
        <v>38</v>
      </c>
      <c r="Q65" s="9"/>
    </row>
    <row r="66" spans="1:17" ht="38.25" customHeight="1">
      <c r="A66" s="8" t="s">
        <v>257</v>
      </c>
      <c r="B66" s="8">
        <v>79</v>
      </c>
      <c r="C66" s="8">
        <v>74</v>
      </c>
      <c r="D66" s="8" t="s">
        <v>32</v>
      </c>
      <c r="E66" s="13" t="s">
        <v>258</v>
      </c>
      <c r="F66" s="9" t="s">
        <v>259</v>
      </c>
      <c r="G66" s="8" t="s">
        <v>242</v>
      </c>
      <c r="H66" s="8">
        <v>2</v>
      </c>
      <c r="I66" s="8"/>
      <c r="J66" s="10">
        <v>0.5</v>
      </c>
      <c r="K66" s="8" t="s">
        <v>85</v>
      </c>
      <c r="L66" s="9" t="s">
        <v>167</v>
      </c>
      <c r="M66" s="11">
        <v>46311</v>
      </c>
      <c r="N66" s="12"/>
      <c r="O66" s="8" t="s">
        <v>50</v>
      </c>
      <c r="P66" s="8" t="s">
        <v>38</v>
      </c>
      <c r="Q66" s="9"/>
    </row>
    <row r="67" spans="1:17" ht="38.25" customHeight="1">
      <c r="A67" s="8" t="s">
        <v>260</v>
      </c>
      <c r="B67" s="8">
        <v>122</v>
      </c>
      <c r="C67" s="8"/>
      <c r="D67" s="8" t="s">
        <v>41</v>
      </c>
      <c r="E67" s="9" t="s">
        <v>261</v>
      </c>
      <c r="F67" s="9" t="s">
        <v>262</v>
      </c>
      <c r="G67" s="8" t="s">
        <v>261</v>
      </c>
      <c r="H67" s="8">
        <v>2</v>
      </c>
      <c r="I67" s="8">
        <v>3</v>
      </c>
      <c r="J67" s="10"/>
      <c r="K67" s="8" t="s">
        <v>85</v>
      </c>
      <c r="L67" s="9" t="s">
        <v>263</v>
      </c>
      <c r="M67" s="11">
        <v>46311</v>
      </c>
      <c r="N67" s="12"/>
      <c r="O67" s="8" t="s">
        <v>50</v>
      </c>
      <c r="P67" s="8" t="s">
        <v>38</v>
      </c>
      <c r="Q67" s="9"/>
    </row>
    <row r="68" spans="1:17" ht="25.5" customHeight="1">
      <c r="A68" s="8" t="s">
        <v>264</v>
      </c>
      <c r="B68" s="8">
        <v>123</v>
      </c>
      <c r="C68" s="8">
        <v>122</v>
      </c>
      <c r="D68" s="8" t="s">
        <v>32</v>
      </c>
      <c r="E68" s="13" t="s">
        <v>265</v>
      </c>
      <c r="F68" s="9" t="s">
        <v>266</v>
      </c>
      <c r="G68" s="8" t="s">
        <v>261</v>
      </c>
      <c r="H68" s="8">
        <v>2</v>
      </c>
      <c r="I68" s="8"/>
      <c r="J68" s="10">
        <v>1</v>
      </c>
      <c r="K68" s="8" t="s">
        <v>85</v>
      </c>
      <c r="L68" s="9" t="s">
        <v>167</v>
      </c>
      <c r="M68" s="11">
        <v>46311</v>
      </c>
      <c r="N68" s="12"/>
      <c r="O68" s="8" t="s">
        <v>50</v>
      </c>
      <c r="P68" s="8" t="s">
        <v>38</v>
      </c>
      <c r="Q68" s="9"/>
    </row>
    <row r="69" spans="1:17" ht="38.25" customHeight="1">
      <c r="A69" s="8" t="s">
        <v>267</v>
      </c>
      <c r="B69" s="8">
        <v>124</v>
      </c>
      <c r="C69" s="8">
        <v>122</v>
      </c>
      <c r="D69" s="8" t="s">
        <v>32</v>
      </c>
      <c r="E69" s="13" t="s">
        <v>268</v>
      </c>
      <c r="F69" s="9" t="s">
        <v>269</v>
      </c>
      <c r="G69" s="8" t="s">
        <v>261</v>
      </c>
      <c r="H69" s="8">
        <v>2</v>
      </c>
      <c r="I69" s="8"/>
      <c r="J69" s="10">
        <v>2</v>
      </c>
      <c r="K69" s="8" t="s">
        <v>85</v>
      </c>
      <c r="L69" s="9" t="s">
        <v>167</v>
      </c>
      <c r="M69" s="11">
        <v>46311</v>
      </c>
      <c r="N69" s="12"/>
      <c r="O69" s="8" t="s">
        <v>50</v>
      </c>
      <c r="P69" s="8" t="s">
        <v>38</v>
      </c>
      <c r="Q69" s="9"/>
    </row>
    <row r="70" spans="1:17" ht="25.5" customHeight="1">
      <c r="A70" s="8" t="s">
        <v>270</v>
      </c>
      <c r="B70" s="8">
        <v>125</v>
      </c>
      <c r="C70" s="8">
        <v>122</v>
      </c>
      <c r="D70" s="8" t="s">
        <v>32</v>
      </c>
      <c r="E70" s="13" t="s">
        <v>271</v>
      </c>
      <c r="F70" s="9" t="s">
        <v>272</v>
      </c>
      <c r="G70" s="8" t="s">
        <v>261</v>
      </c>
      <c r="H70" s="8">
        <v>2</v>
      </c>
      <c r="I70" s="8"/>
      <c r="J70" s="10">
        <v>2</v>
      </c>
      <c r="K70" s="8" t="s">
        <v>85</v>
      </c>
      <c r="L70" s="9" t="s">
        <v>167</v>
      </c>
      <c r="M70" s="11">
        <v>46311</v>
      </c>
      <c r="N70" s="12"/>
      <c r="O70" s="8" t="s">
        <v>50</v>
      </c>
      <c r="P70" s="8" t="s">
        <v>38</v>
      </c>
      <c r="Q70" s="9"/>
    </row>
    <row r="71" spans="1:17" ht="25.5" customHeight="1">
      <c r="A71" s="8" t="s">
        <v>273</v>
      </c>
      <c r="B71" s="8">
        <v>126</v>
      </c>
      <c r="C71" s="8">
        <v>122</v>
      </c>
      <c r="D71" s="8" t="s">
        <v>32</v>
      </c>
      <c r="E71" s="13" t="s">
        <v>274</v>
      </c>
      <c r="F71" s="9" t="s">
        <v>275</v>
      </c>
      <c r="G71" s="8" t="s">
        <v>261</v>
      </c>
      <c r="H71" s="8">
        <v>2</v>
      </c>
      <c r="I71" s="8"/>
      <c r="J71" s="10">
        <v>1.5</v>
      </c>
      <c r="K71" s="8" t="s">
        <v>85</v>
      </c>
      <c r="L71" s="9" t="s">
        <v>167</v>
      </c>
      <c r="M71" s="11">
        <v>46311</v>
      </c>
      <c r="N71" s="12"/>
      <c r="O71" s="8" t="s">
        <v>50</v>
      </c>
      <c r="P71" s="8" t="s">
        <v>38</v>
      </c>
      <c r="Q71" s="9"/>
    </row>
    <row r="72" spans="1:17" ht="25.5" customHeight="1">
      <c r="A72" s="8" t="s">
        <v>276</v>
      </c>
      <c r="B72" s="8">
        <v>80</v>
      </c>
      <c r="C72" s="8"/>
      <c r="D72" s="8" t="s">
        <v>41</v>
      </c>
      <c r="E72" s="9" t="s">
        <v>277</v>
      </c>
      <c r="F72" s="9" t="s">
        <v>278</v>
      </c>
      <c r="G72" s="8" t="s">
        <v>277</v>
      </c>
      <c r="H72" s="8">
        <v>2</v>
      </c>
      <c r="I72" s="8">
        <v>3</v>
      </c>
      <c r="J72" s="10"/>
      <c r="K72" s="8" t="s">
        <v>35</v>
      </c>
      <c r="L72" s="9" t="s">
        <v>279</v>
      </c>
      <c r="M72" s="11">
        <v>46311</v>
      </c>
      <c r="N72" s="12"/>
      <c r="O72" s="8" t="s">
        <v>50</v>
      </c>
      <c r="P72" s="8" t="s">
        <v>38</v>
      </c>
      <c r="Q72" s="9"/>
    </row>
    <row r="73" spans="1:17" ht="25.5" customHeight="1">
      <c r="A73" s="8" t="s">
        <v>280</v>
      </c>
      <c r="B73" s="8">
        <v>81</v>
      </c>
      <c r="C73" s="8">
        <v>80</v>
      </c>
      <c r="D73" s="8" t="s">
        <v>32</v>
      </c>
      <c r="E73" s="13" t="s">
        <v>281</v>
      </c>
      <c r="F73" s="9" t="s">
        <v>282</v>
      </c>
      <c r="G73" s="8" t="s">
        <v>277</v>
      </c>
      <c r="H73" s="8">
        <v>2</v>
      </c>
      <c r="I73" s="8"/>
      <c r="J73" s="10">
        <v>2</v>
      </c>
      <c r="K73" s="8" t="s">
        <v>35</v>
      </c>
      <c r="L73" s="9" t="s">
        <v>283</v>
      </c>
      <c r="M73" s="11">
        <v>46311</v>
      </c>
      <c r="N73" s="12"/>
      <c r="O73" s="8" t="s">
        <v>50</v>
      </c>
      <c r="P73" s="8" t="s">
        <v>38</v>
      </c>
      <c r="Q73" s="9"/>
    </row>
    <row r="74" spans="1:17" ht="25.5" customHeight="1">
      <c r="A74" s="8" t="s">
        <v>284</v>
      </c>
      <c r="B74" s="8">
        <v>82</v>
      </c>
      <c r="C74" s="8">
        <v>80</v>
      </c>
      <c r="D74" s="8" t="s">
        <v>32</v>
      </c>
      <c r="E74" s="13" t="s">
        <v>285</v>
      </c>
      <c r="F74" s="9" t="s">
        <v>286</v>
      </c>
      <c r="G74" s="8" t="s">
        <v>277</v>
      </c>
      <c r="H74" s="8">
        <v>2</v>
      </c>
      <c r="I74" s="8"/>
      <c r="J74" s="10">
        <v>2</v>
      </c>
      <c r="K74" s="8" t="s">
        <v>35</v>
      </c>
      <c r="L74" s="9" t="s">
        <v>283</v>
      </c>
      <c r="M74" s="11">
        <v>46311</v>
      </c>
      <c r="N74" s="12"/>
      <c r="O74" s="8" t="s">
        <v>50</v>
      </c>
      <c r="P74" s="8" t="s">
        <v>38</v>
      </c>
      <c r="Q74" s="9"/>
    </row>
    <row r="75" spans="1:17" ht="140.25" customHeight="1">
      <c r="A75" s="8" t="s">
        <v>287</v>
      </c>
      <c r="B75" s="8">
        <v>83</v>
      </c>
      <c r="C75" s="8">
        <v>80</v>
      </c>
      <c r="D75" s="8" t="s">
        <v>32</v>
      </c>
      <c r="E75" s="13" t="s">
        <v>288</v>
      </c>
      <c r="F75" s="9" t="s">
        <v>289</v>
      </c>
      <c r="G75" s="8" t="s">
        <v>277</v>
      </c>
      <c r="H75" s="8">
        <v>2</v>
      </c>
      <c r="I75" s="8"/>
      <c r="J75" s="10">
        <v>1</v>
      </c>
      <c r="K75" s="8" t="s">
        <v>35</v>
      </c>
      <c r="L75" s="9" t="s">
        <v>283</v>
      </c>
      <c r="M75" s="11">
        <v>46311</v>
      </c>
      <c r="N75" s="12"/>
      <c r="O75" s="8" t="s">
        <v>50</v>
      </c>
      <c r="P75" s="8" t="s">
        <v>38</v>
      </c>
      <c r="Q75" s="9"/>
    </row>
    <row r="76" spans="1:17" ht="25.5" customHeight="1">
      <c r="A76" s="8" t="s">
        <v>290</v>
      </c>
      <c r="B76" s="8">
        <v>84</v>
      </c>
      <c r="C76" s="8"/>
      <c r="D76" s="8" t="s">
        <v>41</v>
      </c>
      <c r="E76" s="9" t="s">
        <v>291</v>
      </c>
      <c r="F76" s="9" t="s">
        <v>292</v>
      </c>
      <c r="G76" s="8" t="s">
        <v>291</v>
      </c>
      <c r="H76" s="8">
        <v>2</v>
      </c>
      <c r="I76" s="8">
        <v>3</v>
      </c>
      <c r="J76" s="10"/>
      <c r="K76" s="8" t="s">
        <v>35</v>
      </c>
      <c r="L76" s="9" t="s">
        <v>293</v>
      </c>
      <c r="M76" s="11">
        <v>46311</v>
      </c>
      <c r="N76" s="12"/>
      <c r="O76" s="8" t="s">
        <v>50</v>
      </c>
      <c r="P76" s="8" t="s">
        <v>38</v>
      </c>
      <c r="Q76" s="9"/>
    </row>
    <row r="77" spans="1:17" ht="38.25" customHeight="1">
      <c r="A77" s="8" t="s">
        <v>294</v>
      </c>
      <c r="B77" s="8">
        <v>85</v>
      </c>
      <c r="C77" s="8">
        <v>84</v>
      </c>
      <c r="D77" s="8" t="s">
        <v>32</v>
      </c>
      <c r="E77" s="13" t="s">
        <v>295</v>
      </c>
      <c r="F77" s="9" t="s">
        <v>296</v>
      </c>
      <c r="G77" s="8" t="s">
        <v>291</v>
      </c>
      <c r="H77" s="8">
        <v>2</v>
      </c>
      <c r="I77" s="8"/>
      <c r="J77" s="10">
        <v>2</v>
      </c>
      <c r="K77" s="8" t="s">
        <v>35</v>
      </c>
      <c r="L77" s="9" t="s">
        <v>283</v>
      </c>
      <c r="M77" s="11">
        <v>46311</v>
      </c>
      <c r="N77" s="12"/>
      <c r="O77" s="8" t="s">
        <v>50</v>
      </c>
      <c r="P77" s="8" t="s">
        <v>38</v>
      </c>
      <c r="Q77" s="9"/>
    </row>
    <row r="78" spans="1:17" ht="25.5" customHeight="1">
      <c r="A78" s="8" t="s">
        <v>297</v>
      </c>
      <c r="B78" s="8">
        <v>86</v>
      </c>
      <c r="C78" s="8">
        <v>84</v>
      </c>
      <c r="D78" s="8" t="s">
        <v>32</v>
      </c>
      <c r="E78" s="13" t="s">
        <v>298</v>
      </c>
      <c r="F78" s="9" t="s">
        <v>299</v>
      </c>
      <c r="G78" s="8" t="s">
        <v>291</v>
      </c>
      <c r="H78" s="8">
        <v>2</v>
      </c>
      <c r="I78" s="8"/>
      <c r="J78" s="10">
        <v>1</v>
      </c>
      <c r="K78" s="8" t="s">
        <v>35</v>
      </c>
      <c r="L78" s="9" t="s">
        <v>283</v>
      </c>
      <c r="M78" s="11">
        <v>46311</v>
      </c>
      <c r="N78" s="12"/>
      <c r="O78" s="8" t="s">
        <v>50</v>
      </c>
      <c r="P78" s="8" t="s">
        <v>38</v>
      </c>
      <c r="Q78" s="9"/>
    </row>
    <row r="79" spans="1:17" ht="25.5" customHeight="1">
      <c r="A79" s="8" t="s">
        <v>300</v>
      </c>
      <c r="B79" s="8">
        <v>128</v>
      </c>
      <c r="C79" s="8">
        <v>84</v>
      </c>
      <c r="D79" s="8" t="s">
        <v>32</v>
      </c>
      <c r="E79" s="13" t="s">
        <v>301</v>
      </c>
      <c r="F79" s="9" t="s">
        <v>302</v>
      </c>
      <c r="G79" s="8" t="s">
        <v>291</v>
      </c>
      <c r="H79" s="8">
        <v>2</v>
      </c>
      <c r="I79" s="8"/>
      <c r="J79" s="10">
        <v>1</v>
      </c>
      <c r="K79" s="8" t="s">
        <v>35</v>
      </c>
      <c r="L79" s="9" t="s">
        <v>283</v>
      </c>
      <c r="M79" s="11">
        <v>46311</v>
      </c>
      <c r="N79" s="12"/>
      <c r="O79" s="8" t="s">
        <v>50</v>
      </c>
      <c r="P79" s="8" t="s">
        <v>38</v>
      </c>
      <c r="Q79" s="9"/>
    </row>
    <row r="80" spans="1:17" ht="25.5" customHeight="1">
      <c r="A80" s="8" t="s">
        <v>303</v>
      </c>
      <c r="B80" s="8">
        <v>87</v>
      </c>
      <c r="C80" s="8"/>
      <c r="D80" s="8" t="s">
        <v>41</v>
      </c>
      <c r="E80" s="9" t="s">
        <v>304</v>
      </c>
      <c r="F80" s="9" t="s">
        <v>305</v>
      </c>
      <c r="G80" s="8" t="s">
        <v>304</v>
      </c>
      <c r="H80" s="8">
        <v>2</v>
      </c>
      <c r="I80" s="8">
        <v>2</v>
      </c>
      <c r="J80" s="10"/>
      <c r="K80" s="8" t="s">
        <v>85</v>
      </c>
      <c r="L80" s="9" t="s">
        <v>306</v>
      </c>
      <c r="M80" s="11">
        <v>46310</v>
      </c>
      <c r="N80" s="12"/>
      <c r="O80" s="8" t="s">
        <v>50</v>
      </c>
      <c r="P80" s="8" t="s">
        <v>38</v>
      </c>
      <c r="Q80" s="9"/>
    </row>
    <row r="81" spans="1:17" ht="76.5" customHeight="1">
      <c r="A81" s="8" t="s">
        <v>307</v>
      </c>
      <c r="B81" s="8">
        <v>88</v>
      </c>
      <c r="C81" s="8">
        <v>87</v>
      </c>
      <c r="D81" s="8" t="s">
        <v>32</v>
      </c>
      <c r="E81" s="13" t="s">
        <v>308</v>
      </c>
      <c r="F81" s="9" t="s">
        <v>309</v>
      </c>
      <c r="G81" s="8" t="s">
        <v>304</v>
      </c>
      <c r="H81" s="8">
        <v>2</v>
      </c>
      <c r="I81" s="8"/>
      <c r="J81" s="10">
        <v>0.5</v>
      </c>
      <c r="K81" s="8" t="s">
        <v>85</v>
      </c>
      <c r="L81" s="9" t="s">
        <v>283</v>
      </c>
      <c r="M81" s="11">
        <v>46310</v>
      </c>
      <c r="N81" s="12"/>
      <c r="O81" s="8" t="s">
        <v>50</v>
      </c>
      <c r="P81" s="8" t="s">
        <v>38</v>
      </c>
      <c r="Q81" s="9"/>
    </row>
    <row r="82" spans="1:17" ht="51" customHeight="1">
      <c r="A82" s="8" t="s">
        <v>310</v>
      </c>
      <c r="B82" s="8">
        <v>89</v>
      </c>
      <c r="C82" s="8">
        <v>87</v>
      </c>
      <c r="D82" s="8" t="s">
        <v>32</v>
      </c>
      <c r="E82" s="13" t="s">
        <v>311</v>
      </c>
      <c r="F82" s="9" t="s">
        <v>312</v>
      </c>
      <c r="G82" s="8" t="s">
        <v>304</v>
      </c>
      <c r="H82" s="8">
        <v>2</v>
      </c>
      <c r="I82" s="8"/>
      <c r="J82" s="10">
        <v>2</v>
      </c>
      <c r="K82" s="8" t="s">
        <v>85</v>
      </c>
      <c r="L82" s="9" t="s">
        <v>283</v>
      </c>
      <c r="M82" s="11">
        <v>46310</v>
      </c>
      <c r="N82" s="12"/>
      <c r="O82" s="8" t="s">
        <v>50</v>
      </c>
      <c r="P82" s="8" t="s">
        <v>38</v>
      </c>
      <c r="Q82" s="9"/>
    </row>
    <row r="83" spans="1:17" ht="38.25" customHeight="1">
      <c r="A83" s="8" t="s">
        <v>313</v>
      </c>
      <c r="B83" s="8">
        <v>90</v>
      </c>
      <c r="C83" s="8">
        <v>87</v>
      </c>
      <c r="D83" s="8" t="s">
        <v>32</v>
      </c>
      <c r="E83" s="13" t="s">
        <v>314</v>
      </c>
      <c r="F83" s="9" t="s">
        <v>315</v>
      </c>
      <c r="G83" s="8" t="s">
        <v>304</v>
      </c>
      <c r="H83" s="8">
        <v>2</v>
      </c>
      <c r="I83" s="8"/>
      <c r="J83" s="10">
        <v>0.5</v>
      </c>
      <c r="K83" s="8" t="s">
        <v>85</v>
      </c>
      <c r="L83" s="9" t="s">
        <v>283</v>
      </c>
      <c r="M83" s="11">
        <v>46310</v>
      </c>
      <c r="N83" s="12"/>
      <c r="O83" s="8" t="s">
        <v>50</v>
      </c>
      <c r="P83" s="8" t="s">
        <v>38</v>
      </c>
      <c r="Q83" s="9"/>
    </row>
    <row r="84" spans="1:17" ht="25.5" customHeight="1">
      <c r="A84" s="8" t="s">
        <v>316</v>
      </c>
      <c r="B84" s="8">
        <v>91</v>
      </c>
      <c r="C84" s="8"/>
      <c r="D84" s="8" t="s">
        <v>41</v>
      </c>
      <c r="E84" s="9" t="s">
        <v>317</v>
      </c>
      <c r="F84" s="9" t="s">
        <v>318</v>
      </c>
      <c r="G84" s="8" t="s">
        <v>317</v>
      </c>
      <c r="H84" s="8">
        <v>2</v>
      </c>
      <c r="I84" s="8">
        <v>2</v>
      </c>
      <c r="J84" s="10"/>
      <c r="K84" s="8" t="s">
        <v>85</v>
      </c>
      <c r="L84" s="9" t="s">
        <v>319</v>
      </c>
      <c r="M84" s="11">
        <v>46311</v>
      </c>
      <c r="N84" s="12"/>
      <c r="O84" s="8" t="s">
        <v>50</v>
      </c>
      <c r="P84" s="8" t="s">
        <v>38</v>
      </c>
      <c r="Q84" s="9"/>
    </row>
    <row r="85" spans="1:17" ht="38.25" customHeight="1">
      <c r="A85" s="8" t="s">
        <v>320</v>
      </c>
      <c r="B85" s="8">
        <v>92</v>
      </c>
      <c r="C85" s="8">
        <v>91</v>
      </c>
      <c r="D85" s="8" t="s">
        <v>32</v>
      </c>
      <c r="E85" s="13" t="s">
        <v>321</v>
      </c>
      <c r="F85" s="9" t="s">
        <v>322</v>
      </c>
      <c r="G85" s="8" t="s">
        <v>317</v>
      </c>
      <c r="H85" s="8">
        <v>2</v>
      </c>
      <c r="I85" s="8"/>
      <c r="J85" s="10">
        <v>1.5</v>
      </c>
      <c r="K85" s="8" t="s">
        <v>85</v>
      </c>
      <c r="L85" s="9" t="s">
        <v>323</v>
      </c>
      <c r="M85" s="11">
        <v>46311</v>
      </c>
      <c r="N85" s="12"/>
      <c r="O85" s="8" t="s">
        <v>50</v>
      </c>
      <c r="P85" s="8" t="s">
        <v>38</v>
      </c>
      <c r="Q85" s="9"/>
    </row>
    <row r="86" spans="1:17" ht="38.25" customHeight="1">
      <c r="A86" s="8" t="s">
        <v>324</v>
      </c>
      <c r="B86" s="8">
        <v>93</v>
      </c>
      <c r="C86" s="8">
        <v>91</v>
      </c>
      <c r="D86" s="8" t="s">
        <v>32</v>
      </c>
      <c r="E86" s="13" t="s">
        <v>325</v>
      </c>
      <c r="F86" s="9" t="s">
        <v>326</v>
      </c>
      <c r="G86" s="8" t="s">
        <v>317</v>
      </c>
      <c r="H86" s="8">
        <v>2</v>
      </c>
      <c r="I86" s="8"/>
      <c r="J86" s="10">
        <v>1</v>
      </c>
      <c r="K86" s="8" t="s">
        <v>85</v>
      </c>
      <c r="L86" s="9" t="s">
        <v>323</v>
      </c>
      <c r="M86" s="11">
        <v>46311</v>
      </c>
      <c r="N86" s="12"/>
      <c r="O86" s="8" t="s">
        <v>50</v>
      </c>
      <c r="P86" s="8" t="s">
        <v>38</v>
      </c>
      <c r="Q86" s="9"/>
    </row>
    <row r="87" spans="1:17" ht="51" customHeight="1">
      <c r="A87" s="8" t="s">
        <v>327</v>
      </c>
      <c r="B87" s="8">
        <v>94</v>
      </c>
      <c r="C87" s="8">
        <v>91</v>
      </c>
      <c r="D87" s="8" t="s">
        <v>32</v>
      </c>
      <c r="E87" s="13" t="s">
        <v>328</v>
      </c>
      <c r="F87" s="9" t="s">
        <v>329</v>
      </c>
      <c r="G87" s="8" t="s">
        <v>317</v>
      </c>
      <c r="H87" s="8">
        <v>2</v>
      </c>
      <c r="I87" s="8"/>
      <c r="J87" s="10">
        <v>2</v>
      </c>
      <c r="K87" s="8" t="s">
        <v>85</v>
      </c>
      <c r="L87" s="9" t="s">
        <v>323</v>
      </c>
      <c r="M87" s="11">
        <v>46311</v>
      </c>
      <c r="N87" s="12"/>
      <c r="O87" s="8" t="s">
        <v>50</v>
      </c>
      <c r="P87" s="8" t="s">
        <v>38</v>
      </c>
      <c r="Q87" s="9"/>
    </row>
    <row r="88" spans="1:17" ht="63.75" customHeight="1">
      <c r="A88" s="8" t="s">
        <v>330</v>
      </c>
      <c r="B88" s="8">
        <v>95</v>
      </c>
      <c r="C88" s="8"/>
      <c r="D88" s="8" t="s">
        <v>41</v>
      </c>
      <c r="E88" s="9" t="s">
        <v>331</v>
      </c>
      <c r="F88" s="9" t="s">
        <v>332</v>
      </c>
      <c r="G88" s="8" t="s">
        <v>331</v>
      </c>
      <c r="H88" s="8">
        <v>2</v>
      </c>
      <c r="I88" s="8">
        <v>5</v>
      </c>
      <c r="J88" s="10"/>
      <c r="K88" s="8" t="s">
        <v>35</v>
      </c>
      <c r="L88" s="9" t="s">
        <v>333</v>
      </c>
      <c r="M88" s="11">
        <v>46309</v>
      </c>
      <c r="N88" s="12"/>
      <c r="O88" s="8" t="s">
        <v>50</v>
      </c>
      <c r="P88" s="8" t="s">
        <v>38</v>
      </c>
      <c r="Q88" s="9"/>
    </row>
    <row r="89" spans="1:17" ht="38.25" customHeight="1">
      <c r="A89" s="8" t="s">
        <v>334</v>
      </c>
      <c r="B89" s="8">
        <v>96</v>
      </c>
      <c r="C89" s="8">
        <v>95</v>
      </c>
      <c r="D89" s="8" t="s">
        <v>32</v>
      </c>
      <c r="E89" s="13" t="s">
        <v>335</v>
      </c>
      <c r="F89" s="9" t="s">
        <v>336</v>
      </c>
      <c r="G89" s="8" t="s">
        <v>331</v>
      </c>
      <c r="H89" s="8">
        <v>2</v>
      </c>
      <c r="I89" s="8"/>
      <c r="J89" s="10">
        <v>3</v>
      </c>
      <c r="K89" s="8" t="s">
        <v>35</v>
      </c>
      <c r="L89" s="9" t="s">
        <v>337</v>
      </c>
      <c r="M89" s="11">
        <v>46309</v>
      </c>
      <c r="N89" s="12"/>
      <c r="O89" s="8" t="s">
        <v>50</v>
      </c>
      <c r="P89" s="8" t="s">
        <v>38</v>
      </c>
      <c r="Q89" s="9"/>
    </row>
    <row r="90" spans="1:17" ht="25.5" customHeight="1">
      <c r="A90" s="8" t="s">
        <v>338</v>
      </c>
      <c r="B90" s="8">
        <v>97</v>
      </c>
      <c r="C90" s="8">
        <v>95</v>
      </c>
      <c r="D90" s="8" t="s">
        <v>32</v>
      </c>
      <c r="E90" s="13" t="s">
        <v>339</v>
      </c>
      <c r="F90" s="9" t="s">
        <v>340</v>
      </c>
      <c r="G90" s="8" t="s">
        <v>331</v>
      </c>
      <c r="H90" s="8">
        <v>2</v>
      </c>
      <c r="I90" s="8"/>
      <c r="J90" s="10">
        <v>3</v>
      </c>
      <c r="K90" s="8" t="s">
        <v>35</v>
      </c>
      <c r="L90" s="9" t="s">
        <v>337</v>
      </c>
      <c r="M90" s="11">
        <v>46309</v>
      </c>
      <c r="N90" s="12"/>
      <c r="O90" s="8" t="s">
        <v>50</v>
      </c>
      <c r="P90" s="8" t="s">
        <v>38</v>
      </c>
      <c r="Q90" s="9"/>
    </row>
    <row r="91" spans="1:17" ht="25.5" customHeight="1">
      <c r="A91" s="8" t="s">
        <v>341</v>
      </c>
      <c r="B91" s="8">
        <v>98</v>
      </c>
      <c r="C91" s="8">
        <v>95</v>
      </c>
      <c r="D91" s="8" t="s">
        <v>32</v>
      </c>
      <c r="E91" s="13" t="s">
        <v>342</v>
      </c>
      <c r="F91" s="9" t="s">
        <v>343</v>
      </c>
      <c r="G91" s="8" t="s">
        <v>331</v>
      </c>
      <c r="H91" s="8">
        <v>2</v>
      </c>
      <c r="I91" s="8"/>
      <c r="J91" s="10">
        <v>3</v>
      </c>
      <c r="K91" s="8" t="s">
        <v>35</v>
      </c>
      <c r="L91" s="9" t="s">
        <v>337</v>
      </c>
      <c r="M91" s="11">
        <v>46309</v>
      </c>
      <c r="N91" s="12"/>
      <c r="O91" s="8" t="s">
        <v>50</v>
      </c>
      <c r="P91" s="8" t="s">
        <v>38</v>
      </c>
      <c r="Q91" s="9"/>
    </row>
    <row r="92" spans="1:17" ht="114.75" customHeight="1">
      <c r="A92" s="8" t="s">
        <v>344</v>
      </c>
      <c r="B92" s="8">
        <v>99</v>
      </c>
      <c r="C92" s="8">
        <v>95</v>
      </c>
      <c r="D92" s="8" t="s">
        <v>32</v>
      </c>
      <c r="E92" s="13" t="s">
        <v>345</v>
      </c>
      <c r="F92" s="9" t="s">
        <v>346</v>
      </c>
      <c r="G92" s="8" t="s">
        <v>331</v>
      </c>
      <c r="H92" s="8">
        <v>2</v>
      </c>
      <c r="I92" s="8"/>
      <c r="J92" s="10">
        <v>2</v>
      </c>
      <c r="K92" s="8" t="s">
        <v>35</v>
      </c>
      <c r="L92" s="9" t="s">
        <v>337</v>
      </c>
      <c r="M92" s="11">
        <v>46309</v>
      </c>
      <c r="N92" s="12"/>
      <c r="O92" s="8" t="s">
        <v>50</v>
      </c>
      <c r="P92" s="8" t="s">
        <v>38</v>
      </c>
      <c r="Q92" s="9"/>
    </row>
    <row r="93" spans="1:17" ht="38.25" customHeight="1">
      <c r="A93" s="8" t="s">
        <v>347</v>
      </c>
      <c r="B93" s="8">
        <v>100</v>
      </c>
      <c r="C93" s="8">
        <v>95</v>
      </c>
      <c r="D93" s="8" t="s">
        <v>32</v>
      </c>
      <c r="E93" s="13" t="s">
        <v>348</v>
      </c>
      <c r="F93" s="9" t="s">
        <v>349</v>
      </c>
      <c r="G93" s="8" t="s">
        <v>331</v>
      </c>
      <c r="H93" s="8">
        <v>2</v>
      </c>
      <c r="I93" s="8"/>
      <c r="J93" s="10">
        <v>1</v>
      </c>
      <c r="K93" s="8" t="s">
        <v>35</v>
      </c>
      <c r="L93" s="9" t="s">
        <v>337</v>
      </c>
      <c r="M93" s="11">
        <v>46309</v>
      </c>
      <c r="N93" s="12"/>
      <c r="O93" s="8" t="s">
        <v>50</v>
      </c>
      <c r="P93" s="8" t="s">
        <v>38</v>
      </c>
      <c r="Q93" s="9"/>
    </row>
    <row r="94" spans="1:17" ht="25.5" customHeight="1">
      <c r="A94" s="8" t="s">
        <v>350</v>
      </c>
      <c r="B94" s="8">
        <v>101</v>
      </c>
      <c r="C94" s="8"/>
      <c r="D94" s="8" t="s">
        <v>41</v>
      </c>
      <c r="E94" s="9" t="s">
        <v>351</v>
      </c>
      <c r="F94" s="9" t="s">
        <v>352</v>
      </c>
      <c r="G94" s="8" t="s">
        <v>351</v>
      </c>
      <c r="H94" s="8">
        <v>2</v>
      </c>
      <c r="I94" s="8">
        <v>3</v>
      </c>
      <c r="J94" s="10"/>
      <c r="K94" s="8" t="s">
        <v>85</v>
      </c>
      <c r="L94" s="9" t="s">
        <v>353</v>
      </c>
      <c r="M94" s="11">
        <v>46311</v>
      </c>
      <c r="N94" s="12"/>
      <c r="O94" s="8" t="s">
        <v>50</v>
      </c>
      <c r="P94" s="8" t="s">
        <v>38</v>
      </c>
      <c r="Q94" s="9"/>
    </row>
    <row r="95" spans="1:17" ht="25.5" customHeight="1">
      <c r="A95" s="8" t="s">
        <v>354</v>
      </c>
      <c r="B95" s="8">
        <v>102</v>
      </c>
      <c r="C95" s="8">
        <v>101</v>
      </c>
      <c r="D95" s="8" t="s">
        <v>32</v>
      </c>
      <c r="E95" s="13" t="s">
        <v>355</v>
      </c>
      <c r="F95" s="9" t="s">
        <v>356</v>
      </c>
      <c r="G95" s="8" t="s">
        <v>351</v>
      </c>
      <c r="H95" s="8">
        <v>2</v>
      </c>
      <c r="I95" s="8"/>
      <c r="J95" s="10">
        <v>1.5</v>
      </c>
      <c r="K95" s="8" t="s">
        <v>85</v>
      </c>
      <c r="L95" s="9" t="s">
        <v>357</v>
      </c>
      <c r="M95" s="11">
        <v>46311</v>
      </c>
      <c r="N95" s="12"/>
      <c r="O95" s="8" t="s">
        <v>50</v>
      </c>
      <c r="P95" s="8" t="s">
        <v>38</v>
      </c>
      <c r="Q95" s="9"/>
    </row>
    <row r="96" spans="1:17" ht="38.25" customHeight="1">
      <c r="A96" s="8" t="s">
        <v>358</v>
      </c>
      <c r="B96" s="8">
        <v>103</v>
      </c>
      <c r="C96" s="8">
        <v>101</v>
      </c>
      <c r="D96" s="8" t="s">
        <v>32</v>
      </c>
      <c r="E96" s="13" t="s">
        <v>359</v>
      </c>
      <c r="F96" s="9" t="s">
        <v>360</v>
      </c>
      <c r="G96" s="8" t="s">
        <v>351</v>
      </c>
      <c r="H96" s="8">
        <v>2</v>
      </c>
      <c r="I96" s="8"/>
      <c r="J96" s="10">
        <v>2</v>
      </c>
      <c r="K96" s="8" t="s">
        <v>85</v>
      </c>
      <c r="L96" s="9" t="s">
        <v>357</v>
      </c>
      <c r="M96" s="11">
        <v>46311</v>
      </c>
      <c r="N96" s="12"/>
      <c r="O96" s="8" t="s">
        <v>50</v>
      </c>
      <c r="P96" s="8" t="s">
        <v>38</v>
      </c>
      <c r="Q96" s="9"/>
    </row>
    <row r="97" spans="1:17" ht="25.5" customHeight="1">
      <c r="A97" s="8" t="s">
        <v>361</v>
      </c>
      <c r="B97" s="8">
        <v>104</v>
      </c>
      <c r="C97" s="8"/>
      <c r="D97" s="8" t="s">
        <v>41</v>
      </c>
      <c r="E97" s="9" t="s">
        <v>362</v>
      </c>
      <c r="F97" s="9" t="s">
        <v>363</v>
      </c>
      <c r="G97" s="8" t="s">
        <v>362</v>
      </c>
      <c r="H97" s="8">
        <v>2</v>
      </c>
      <c r="I97" s="8">
        <v>2</v>
      </c>
      <c r="J97" s="10"/>
      <c r="K97" s="8" t="s">
        <v>85</v>
      </c>
      <c r="L97" s="9" t="s">
        <v>364</v>
      </c>
      <c r="M97" s="11">
        <v>46307</v>
      </c>
      <c r="N97" s="12"/>
      <c r="O97" s="8" t="s">
        <v>50</v>
      </c>
      <c r="P97" s="8" t="s">
        <v>38</v>
      </c>
      <c r="Q97" s="9"/>
    </row>
    <row r="98" spans="1:17" ht="25.5" customHeight="1">
      <c r="A98" s="8" t="s">
        <v>365</v>
      </c>
      <c r="B98" s="8">
        <v>105</v>
      </c>
      <c r="C98" s="8">
        <v>104</v>
      </c>
      <c r="D98" s="8" t="s">
        <v>32</v>
      </c>
      <c r="E98" s="13" t="s">
        <v>366</v>
      </c>
      <c r="F98" s="9" t="s">
        <v>367</v>
      </c>
      <c r="G98" s="8" t="s">
        <v>362</v>
      </c>
      <c r="H98" s="8">
        <v>2</v>
      </c>
      <c r="I98" s="8"/>
      <c r="J98" s="10">
        <v>1.5</v>
      </c>
      <c r="K98" s="8" t="s">
        <v>85</v>
      </c>
      <c r="L98" s="9" t="s">
        <v>357</v>
      </c>
      <c r="M98" s="11">
        <v>46307</v>
      </c>
      <c r="N98" s="12"/>
      <c r="O98" s="8" t="s">
        <v>50</v>
      </c>
      <c r="P98" s="8" t="s">
        <v>38</v>
      </c>
      <c r="Q98" s="9"/>
    </row>
    <row r="99" spans="1:17" ht="25.5" customHeight="1">
      <c r="A99" s="8" t="s">
        <v>368</v>
      </c>
      <c r="B99" s="8">
        <v>107</v>
      </c>
      <c r="C99" s="8"/>
      <c r="D99" s="8" t="s">
        <v>41</v>
      </c>
      <c r="E99" s="9" t="s">
        <v>369</v>
      </c>
      <c r="F99" s="9" t="s">
        <v>370</v>
      </c>
      <c r="G99" s="8" t="s">
        <v>369</v>
      </c>
      <c r="H99" s="8">
        <v>2</v>
      </c>
      <c r="I99" s="8">
        <v>2</v>
      </c>
      <c r="J99" s="10"/>
      <c r="K99" s="8" t="s">
        <v>99</v>
      </c>
      <c r="L99" s="9" t="s">
        <v>371</v>
      </c>
      <c r="M99" s="11">
        <v>46311</v>
      </c>
      <c r="N99" s="12"/>
      <c r="O99" s="8" t="s">
        <v>50</v>
      </c>
      <c r="P99" s="8" t="s">
        <v>38</v>
      </c>
      <c r="Q99" s="9"/>
    </row>
    <row r="100" spans="1:17" ht="25.5" customHeight="1">
      <c r="A100" s="8" t="s">
        <v>372</v>
      </c>
      <c r="B100" s="8">
        <v>108</v>
      </c>
      <c r="C100" s="8">
        <v>107</v>
      </c>
      <c r="D100" s="8" t="s">
        <v>32</v>
      </c>
      <c r="E100" s="13" t="s">
        <v>373</v>
      </c>
      <c r="F100" s="9" t="s">
        <v>374</v>
      </c>
      <c r="G100" s="8" t="s">
        <v>369</v>
      </c>
      <c r="H100" s="8">
        <v>2</v>
      </c>
      <c r="I100" s="8"/>
      <c r="J100" s="10">
        <v>2</v>
      </c>
      <c r="K100" s="8" t="s">
        <v>99</v>
      </c>
      <c r="L100" s="9" t="s">
        <v>375</v>
      </c>
      <c r="M100" s="11">
        <v>46311</v>
      </c>
      <c r="N100" s="12"/>
      <c r="O100" s="8" t="s">
        <v>50</v>
      </c>
      <c r="P100" s="8" t="s">
        <v>38</v>
      </c>
      <c r="Q100" s="9"/>
    </row>
    <row r="101" spans="1:17" ht="38.25" customHeight="1">
      <c r="A101" s="8" t="s">
        <v>376</v>
      </c>
      <c r="B101" s="8">
        <v>109</v>
      </c>
      <c r="C101" s="8">
        <v>107</v>
      </c>
      <c r="D101" s="8" t="s">
        <v>32</v>
      </c>
      <c r="E101" s="13" t="s">
        <v>377</v>
      </c>
      <c r="F101" s="9" t="s">
        <v>378</v>
      </c>
      <c r="G101" s="8" t="s">
        <v>369</v>
      </c>
      <c r="H101" s="8">
        <v>2</v>
      </c>
      <c r="I101" s="8"/>
      <c r="J101" s="10">
        <v>1</v>
      </c>
      <c r="K101" s="8" t="s">
        <v>99</v>
      </c>
      <c r="L101" s="9" t="s">
        <v>375</v>
      </c>
      <c r="M101" s="11">
        <v>46311</v>
      </c>
      <c r="N101" s="12"/>
      <c r="O101" s="8" t="s">
        <v>50</v>
      </c>
      <c r="P101" s="8" t="s">
        <v>38</v>
      </c>
      <c r="Q101" s="9"/>
    </row>
    <row r="102" spans="1:17" ht="76.5" customHeight="1">
      <c r="A102" s="8" t="s">
        <v>379</v>
      </c>
      <c r="B102" s="8">
        <v>129</v>
      </c>
      <c r="C102" s="8">
        <v>107</v>
      </c>
      <c r="D102" s="8" t="s">
        <v>32</v>
      </c>
      <c r="E102" s="13" t="s">
        <v>380</v>
      </c>
      <c r="F102" s="9" t="s">
        <v>381</v>
      </c>
      <c r="G102" s="8" t="s">
        <v>369</v>
      </c>
      <c r="H102" s="8">
        <v>2</v>
      </c>
      <c r="I102" s="8"/>
      <c r="J102" s="10">
        <v>0.5</v>
      </c>
      <c r="K102" s="8" t="s">
        <v>99</v>
      </c>
      <c r="L102" s="9" t="s">
        <v>375</v>
      </c>
      <c r="M102" s="11">
        <v>46311</v>
      </c>
      <c r="N102" s="12"/>
      <c r="O102" s="8" t="s">
        <v>50</v>
      </c>
      <c r="P102" s="8" t="s">
        <v>38</v>
      </c>
      <c r="Q102" s="9"/>
    </row>
    <row r="103" spans="1:17" ht="25.5" customHeight="1">
      <c r="A103" s="8" t="s">
        <v>382</v>
      </c>
      <c r="B103" s="8">
        <v>110</v>
      </c>
      <c r="C103" s="8"/>
      <c r="D103" s="8" t="s">
        <v>41</v>
      </c>
      <c r="E103" s="9" t="s">
        <v>383</v>
      </c>
      <c r="F103" s="9" t="s">
        <v>384</v>
      </c>
      <c r="G103" s="8" t="s">
        <v>383</v>
      </c>
      <c r="H103" s="8">
        <v>2</v>
      </c>
      <c r="I103" s="8">
        <v>1</v>
      </c>
      <c r="J103" s="10"/>
      <c r="K103" s="8" t="s">
        <v>99</v>
      </c>
      <c r="L103" s="9" t="s">
        <v>371</v>
      </c>
      <c r="M103" s="11">
        <v>46311</v>
      </c>
      <c r="N103" s="12"/>
      <c r="O103" s="8" t="s">
        <v>50</v>
      </c>
      <c r="P103" s="8" t="s">
        <v>38</v>
      </c>
      <c r="Q103" s="9"/>
    </row>
    <row r="104" spans="1:17" ht="25.5" customHeight="1">
      <c r="A104" s="8" t="s">
        <v>385</v>
      </c>
      <c r="B104" s="8">
        <v>111</v>
      </c>
      <c r="C104" s="8">
        <v>110</v>
      </c>
      <c r="D104" s="8" t="s">
        <v>32</v>
      </c>
      <c r="E104" s="13" t="s">
        <v>386</v>
      </c>
      <c r="F104" s="9" t="s">
        <v>387</v>
      </c>
      <c r="G104" s="8" t="s">
        <v>383</v>
      </c>
      <c r="H104" s="8">
        <v>2</v>
      </c>
      <c r="I104" s="8"/>
      <c r="J104" s="10">
        <v>1</v>
      </c>
      <c r="K104" s="8" t="s">
        <v>99</v>
      </c>
      <c r="L104" s="9" t="s">
        <v>375</v>
      </c>
      <c r="M104" s="11">
        <v>46311</v>
      </c>
      <c r="N104" s="12"/>
      <c r="O104" s="8" t="s">
        <v>50</v>
      </c>
      <c r="P104" s="8" t="s">
        <v>38</v>
      </c>
      <c r="Q104" s="9"/>
    </row>
    <row r="105" spans="1:17" ht="63.75" customHeight="1">
      <c r="A105" s="8" t="s">
        <v>388</v>
      </c>
      <c r="B105" s="8">
        <v>112</v>
      </c>
      <c r="C105" s="8"/>
      <c r="D105" s="8" t="s">
        <v>41</v>
      </c>
      <c r="E105" s="9" t="s">
        <v>389</v>
      </c>
      <c r="F105" s="9" t="s">
        <v>390</v>
      </c>
      <c r="G105" s="8" t="s">
        <v>389</v>
      </c>
      <c r="H105" s="8">
        <v>2</v>
      </c>
      <c r="I105" s="8">
        <v>5</v>
      </c>
      <c r="J105" s="10"/>
      <c r="K105" s="8" t="s">
        <v>35</v>
      </c>
      <c r="L105" s="9" t="s">
        <v>391</v>
      </c>
      <c r="M105" s="11">
        <v>46311</v>
      </c>
      <c r="N105" s="12"/>
      <c r="O105" s="8" t="s">
        <v>50</v>
      </c>
      <c r="P105" s="8" t="s">
        <v>38</v>
      </c>
      <c r="Q105" s="9"/>
    </row>
    <row r="106" spans="1:17" ht="25.5" customHeight="1">
      <c r="A106" s="8" t="s">
        <v>392</v>
      </c>
      <c r="B106" s="8">
        <v>113</v>
      </c>
      <c r="C106" s="8">
        <v>112</v>
      </c>
      <c r="D106" s="8" t="s">
        <v>32</v>
      </c>
      <c r="E106" s="13" t="s">
        <v>393</v>
      </c>
      <c r="F106" s="9" t="s">
        <v>394</v>
      </c>
      <c r="G106" s="8" t="s">
        <v>389</v>
      </c>
      <c r="H106" s="8">
        <v>2</v>
      </c>
      <c r="I106" s="8"/>
      <c r="J106" s="10">
        <v>6</v>
      </c>
      <c r="K106" s="8" t="s">
        <v>35</v>
      </c>
      <c r="L106" s="9" t="s">
        <v>395</v>
      </c>
      <c r="M106" s="11">
        <v>46311</v>
      </c>
      <c r="N106" s="12"/>
      <c r="O106" s="8" t="s">
        <v>50</v>
      </c>
      <c r="P106" s="8" t="s">
        <v>38</v>
      </c>
      <c r="Q106" s="9"/>
    </row>
    <row r="107" spans="1:17" ht="25.5" customHeight="1">
      <c r="A107" s="8" t="s">
        <v>396</v>
      </c>
      <c r="B107" s="8">
        <v>114</v>
      </c>
      <c r="C107" s="8">
        <v>112</v>
      </c>
      <c r="D107" s="8" t="s">
        <v>32</v>
      </c>
      <c r="E107" s="13" t="s">
        <v>397</v>
      </c>
      <c r="F107" s="9" t="s">
        <v>398</v>
      </c>
      <c r="G107" s="8" t="s">
        <v>389</v>
      </c>
      <c r="H107" s="8">
        <v>2</v>
      </c>
      <c r="I107" s="8"/>
      <c r="J107" s="10">
        <v>1</v>
      </c>
      <c r="K107" s="8" t="s">
        <v>35</v>
      </c>
      <c r="L107" s="9" t="s">
        <v>395</v>
      </c>
      <c r="M107" s="11">
        <v>46311</v>
      </c>
      <c r="N107" s="12"/>
      <c r="O107" s="8" t="s">
        <v>50</v>
      </c>
      <c r="P107" s="8" t="s">
        <v>38</v>
      </c>
      <c r="Q107" s="9"/>
    </row>
    <row r="108" spans="1:17" ht="38.25" customHeight="1">
      <c r="A108" s="8" t="s">
        <v>399</v>
      </c>
      <c r="B108" s="8">
        <v>115</v>
      </c>
      <c r="C108" s="8">
        <v>112</v>
      </c>
      <c r="D108" s="8" t="s">
        <v>32</v>
      </c>
      <c r="E108" s="13" t="s">
        <v>400</v>
      </c>
      <c r="F108" s="9" t="s">
        <v>401</v>
      </c>
      <c r="G108" s="8" t="s">
        <v>389</v>
      </c>
      <c r="H108" s="8">
        <v>2</v>
      </c>
      <c r="I108" s="8"/>
      <c r="J108" s="10">
        <v>3</v>
      </c>
      <c r="K108" s="8" t="s">
        <v>35</v>
      </c>
      <c r="L108" s="9" t="s">
        <v>395</v>
      </c>
      <c r="M108" s="11">
        <v>46311</v>
      </c>
      <c r="N108" s="12"/>
      <c r="O108" s="8" t="s">
        <v>50</v>
      </c>
      <c r="P108" s="8" t="s">
        <v>38</v>
      </c>
      <c r="Q108" s="9"/>
    </row>
    <row r="109" spans="1:17" ht="38.25" customHeight="1">
      <c r="A109" s="8" t="s">
        <v>402</v>
      </c>
      <c r="B109" s="8">
        <v>116</v>
      </c>
      <c r="C109" s="8"/>
      <c r="D109" s="8" t="s">
        <v>41</v>
      </c>
      <c r="E109" s="9" t="s">
        <v>403</v>
      </c>
      <c r="F109" s="9" t="s">
        <v>404</v>
      </c>
      <c r="G109" s="8" t="s">
        <v>403</v>
      </c>
      <c r="H109" s="8">
        <v>2</v>
      </c>
      <c r="I109" s="8">
        <v>1</v>
      </c>
      <c r="J109" s="10"/>
      <c r="K109" s="8" t="s">
        <v>99</v>
      </c>
      <c r="L109" s="9" t="s">
        <v>405</v>
      </c>
      <c r="M109" s="11">
        <v>46311</v>
      </c>
      <c r="N109" s="12"/>
      <c r="O109" s="8" t="s">
        <v>50</v>
      </c>
      <c r="P109" s="8" t="s">
        <v>38</v>
      </c>
      <c r="Q109" s="9"/>
    </row>
    <row r="110" spans="1:17" ht="25.5" customHeight="1">
      <c r="A110" s="8" t="s">
        <v>406</v>
      </c>
      <c r="B110" s="8">
        <v>117</v>
      </c>
      <c r="C110" s="8">
        <v>116</v>
      </c>
      <c r="D110" s="8" t="s">
        <v>32</v>
      </c>
      <c r="E110" s="13" t="s">
        <v>407</v>
      </c>
      <c r="F110" s="9" t="s">
        <v>408</v>
      </c>
      <c r="G110" s="8" t="s">
        <v>403</v>
      </c>
      <c r="H110" s="8">
        <v>2</v>
      </c>
      <c r="I110" s="8"/>
      <c r="J110" s="10">
        <v>1</v>
      </c>
      <c r="K110" s="8" t="s">
        <v>99</v>
      </c>
      <c r="L110" s="9" t="s">
        <v>409</v>
      </c>
      <c r="M110" s="11">
        <v>46311</v>
      </c>
      <c r="N110" s="12"/>
      <c r="O110" s="8" t="s">
        <v>50</v>
      </c>
      <c r="P110" s="8" t="s">
        <v>38</v>
      </c>
      <c r="Q110" s="9"/>
    </row>
    <row r="111" spans="1:17" ht="51" customHeight="1">
      <c r="A111" s="4" t="s">
        <v>410</v>
      </c>
      <c r="B111" s="4">
        <v>130</v>
      </c>
      <c r="C111" s="4"/>
      <c r="D111" s="4" t="s">
        <v>41</v>
      </c>
      <c r="E111" s="4" t="s">
        <v>411</v>
      </c>
      <c r="F111" s="15" t="s">
        <v>412</v>
      </c>
      <c r="G111" s="4" t="s">
        <v>411</v>
      </c>
      <c r="H111" s="4">
        <v>2</v>
      </c>
      <c r="I111" s="4">
        <v>8</v>
      </c>
      <c r="J111" s="4"/>
      <c r="K111" s="4" t="s">
        <v>85</v>
      </c>
      <c r="L111" s="4" t="s">
        <v>413</v>
      </c>
      <c r="M111" s="16">
        <v>46311</v>
      </c>
      <c r="N111" s="4"/>
      <c r="O111" s="4" t="s">
        <v>50</v>
      </c>
      <c r="P111" s="4" t="s">
        <v>38</v>
      </c>
      <c r="Q111" s="4"/>
    </row>
    <row r="112" spans="1:17" ht="25.5" customHeight="1">
      <c r="A112" s="4" t="s">
        <v>414</v>
      </c>
      <c r="B112" s="4">
        <v>131</v>
      </c>
      <c r="C112" s="4">
        <v>130</v>
      </c>
      <c r="D112" s="4" t="s">
        <v>32</v>
      </c>
      <c r="E112" s="4" t="s">
        <v>415</v>
      </c>
      <c r="F112" s="15" t="s">
        <v>416</v>
      </c>
      <c r="G112" s="4" t="s">
        <v>411</v>
      </c>
      <c r="H112" s="4">
        <v>2</v>
      </c>
      <c r="I112" s="4"/>
      <c r="J112" s="4">
        <v>5</v>
      </c>
      <c r="K112" s="4" t="s">
        <v>35</v>
      </c>
      <c r="L112" s="4" t="s">
        <v>417</v>
      </c>
      <c r="M112" s="16">
        <v>46310</v>
      </c>
      <c r="N112" s="4"/>
      <c r="O112" s="4" t="s">
        <v>50</v>
      </c>
      <c r="P112" s="4" t="s">
        <v>38</v>
      </c>
      <c r="Q112" s="4"/>
    </row>
    <row r="113" spans="1:17" ht="51" customHeight="1">
      <c r="A113" s="4" t="s">
        <v>418</v>
      </c>
      <c r="B113" s="4">
        <v>132</v>
      </c>
      <c r="C113" s="4">
        <v>130</v>
      </c>
      <c r="D113" s="4" t="s">
        <v>32</v>
      </c>
      <c r="E113" s="4" t="s">
        <v>419</v>
      </c>
      <c r="F113" s="15" t="s">
        <v>420</v>
      </c>
      <c r="G113" s="4" t="s">
        <v>411</v>
      </c>
      <c r="H113" s="4">
        <v>2</v>
      </c>
      <c r="I113" s="4"/>
      <c r="J113" s="4">
        <v>4</v>
      </c>
      <c r="K113" s="4" t="s">
        <v>421</v>
      </c>
      <c r="L113" s="4" t="s">
        <v>422</v>
      </c>
      <c r="M113" s="16">
        <v>46339</v>
      </c>
      <c r="N113" s="4"/>
      <c r="O113" s="4" t="s">
        <v>50</v>
      </c>
      <c r="P113" s="4" t="s">
        <v>423</v>
      </c>
      <c r="Q113" s="4"/>
    </row>
    <row r="114" spans="1:17" ht="25.5" customHeight="1">
      <c r="A114" s="4" t="s">
        <v>424</v>
      </c>
      <c r="B114" s="4">
        <v>133</v>
      </c>
      <c r="C114" s="4">
        <v>130</v>
      </c>
      <c r="D114" s="4" t="s">
        <v>32</v>
      </c>
      <c r="E114" s="4" t="s">
        <v>425</v>
      </c>
      <c r="F114" s="15" t="s">
        <v>426</v>
      </c>
      <c r="G114" s="4" t="s">
        <v>411</v>
      </c>
      <c r="H114" s="4">
        <v>2</v>
      </c>
      <c r="I114" s="4"/>
      <c r="J114" s="4">
        <v>5</v>
      </c>
      <c r="K114" s="4" t="s">
        <v>35</v>
      </c>
      <c r="L114" s="4" t="s">
        <v>427</v>
      </c>
      <c r="M114" s="16">
        <v>46310</v>
      </c>
      <c r="N114" s="4"/>
      <c r="O114" s="4" t="s">
        <v>50</v>
      </c>
      <c r="P114" s="4" t="s">
        <v>38</v>
      </c>
      <c r="Q114" s="4"/>
    </row>
    <row r="115" spans="1:17" ht="38.25" customHeight="1">
      <c r="A115" s="4" t="s">
        <v>428</v>
      </c>
      <c r="B115" s="4">
        <v>134</v>
      </c>
      <c r="C115" s="4">
        <v>130</v>
      </c>
      <c r="D115" s="4" t="s">
        <v>32</v>
      </c>
      <c r="E115" s="4" t="s">
        <v>429</v>
      </c>
      <c r="F115" s="15" t="s">
        <v>420</v>
      </c>
      <c r="G115" s="4" t="s">
        <v>411</v>
      </c>
      <c r="H115" s="4">
        <v>2</v>
      </c>
      <c r="I115" s="4"/>
      <c r="J115" s="4">
        <v>4</v>
      </c>
      <c r="K115" s="4" t="s">
        <v>421</v>
      </c>
      <c r="L115" s="4" t="s">
        <v>430</v>
      </c>
      <c r="M115" s="16">
        <v>46339</v>
      </c>
      <c r="N115" s="4"/>
      <c r="O115" s="4" t="s">
        <v>50</v>
      </c>
      <c r="P115" s="4" t="s">
        <v>423</v>
      </c>
      <c r="Q115" s="4"/>
    </row>
    <row r="116" spans="1:17" ht="25.5" customHeight="1">
      <c r="A116" s="4" t="s">
        <v>431</v>
      </c>
      <c r="B116" s="4">
        <v>135</v>
      </c>
      <c r="C116" s="4">
        <v>130</v>
      </c>
      <c r="D116" s="4" t="s">
        <v>32</v>
      </c>
      <c r="E116" s="4" t="s">
        <v>432</v>
      </c>
      <c r="F116" s="15" t="s">
        <v>433</v>
      </c>
      <c r="G116" s="4" t="s">
        <v>411</v>
      </c>
      <c r="H116" s="4">
        <v>2</v>
      </c>
      <c r="I116" s="4"/>
      <c r="J116" s="4">
        <v>5</v>
      </c>
      <c r="K116" s="4" t="s">
        <v>35</v>
      </c>
      <c r="L116" s="4" t="s">
        <v>434</v>
      </c>
      <c r="M116" s="16">
        <v>46310</v>
      </c>
      <c r="N116" s="4"/>
      <c r="O116" s="4" t="s">
        <v>50</v>
      </c>
      <c r="P116" s="4" t="s">
        <v>38</v>
      </c>
      <c r="Q116" s="4"/>
    </row>
    <row r="117" spans="1:17" ht="25.5" customHeight="1">
      <c r="A117" s="4" t="s">
        <v>435</v>
      </c>
      <c r="B117" s="4">
        <v>136</v>
      </c>
      <c r="C117" s="4">
        <v>130</v>
      </c>
      <c r="D117" s="4" t="s">
        <v>32</v>
      </c>
      <c r="E117" s="4" t="s">
        <v>436</v>
      </c>
      <c r="F117" s="15" t="s">
        <v>420</v>
      </c>
      <c r="G117" s="4" t="s">
        <v>411</v>
      </c>
      <c r="H117" s="4">
        <v>2</v>
      </c>
      <c r="I117" s="4"/>
      <c r="J117" s="4">
        <v>4</v>
      </c>
      <c r="K117" s="4" t="s">
        <v>421</v>
      </c>
      <c r="L117" s="4" t="s">
        <v>437</v>
      </c>
      <c r="M117" s="16">
        <v>46339</v>
      </c>
      <c r="N117" s="4"/>
      <c r="O117" s="4" t="s">
        <v>50</v>
      </c>
      <c r="P117" s="4" t="s">
        <v>423</v>
      </c>
      <c r="Q117" s="4"/>
    </row>
    <row r="118" spans="1:17" ht="38.25" customHeight="1"/>
    <row r="119" spans="1:17" ht="25.5" customHeight="1"/>
    <row r="120" spans="1:17" ht="51" customHeight="1"/>
    <row r="121" spans="1:17" ht="38.25" customHeight="1"/>
    <row r="122" spans="1:17" ht="38.25" customHeight="1"/>
    <row r="123" spans="1:17" ht="25.5" customHeight="1"/>
    <row r="124" spans="1:17" ht="25.5" customHeight="1"/>
    <row r="125" spans="1:17" ht="38.25" customHeight="1"/>
    <row r="126" spans="1:17" ht="15" customHeight="1"/>
    <row r="127" spans="1:17" ht="15" customHeight="1"/>
    <row r="128" spans="1:17" ht="15" customHeight="1"/>
    <row r="129" ht="15" customHeight="1"/>
    <row r="130" ht="15" customHeight="1"/>
    <row r="131" ht="15" customHeight="1"/>
    <row r="132" ht="15" customHeight="1"/>
  </sheetData>
  <autoFilter ref="A1:Q125" xr:uid="{00000000-0009-0000-0000-000001000000}"/>
  <dataValidations count="5">
    <dataValidation type="list" allowBlank="1" sqref="D2:D200" xr:uid="{00000000-0002-0000-0100-000000000000}">
      <formula1>"Epic,Story,Task,Sub-task,Bug"</formula1>
      <formula2>0</formula2>
    </dataValidation>
    <dataValidation type="list" allowBlank="1" sqref="H2:H200" xr:uid="{00000000-0002-0000-0100-000001000000}">
      <formula1>"2"</formula1>
      <formula2>0</formula2>
    </dataValidation>
    <dataValidation type="list" allowBlank="1" sqref="K2:K200" xr:uid="{00000000-0002-0000-0100-000002000000}">
      <formula1>"Highest,High,Medium,Low,Lowest"</formula1>
      <formula2>0</formula2>
    </dataValidation>
    <dataValidation type="list" allowBlank="1" sqref="O2:O200" xr:uid="{00000000-0002-0000-0100-000003000000}">
      <formula1>"To Do,In Progress,Review,Done"</formula1>
      <formula2>0</formula2>
    </dataValidation>
    <dataValidation type="list" allowBlank="1" sqref="P2:P200" xr:uid="{00000000-0002-0000-0100-000004000000}">
      <formula1>"Ja,Nee"</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zoomScaleNormal="100" workbookViewId="0">
      <selection activeCell="C25" sqref="C25"/>
    </sheetView>
  </sheetViews>
  <sheetFormatPr defaultColWidth="8.5703125" defaultRowHeight="15"/>
  <cols>
    <col min="1" max="1" width="42" customWidth="1"/>
    <col min="2" max="2" width="14" customWidth="1"/>
    <col min="3" max="3" width="55" customWidth="1"/>
  </cols>
  <sheetData>
    <row r="1" spans="1:3" ht="18" customHeight="1">
      <c r="A1" s="1" t="s">
        <v>438</v>
      </c>
    </row>
    <row r="2" spans="1:3" ht="15" customHeight="1">
      <c r="A2" s="2" t="s">
        <v>439</v>
      </c>
    </row>
    <row r="4" spans="1:3" ht="15" customHeight="1">
      <c r="A4" s="5" t="s">
        <v>41</v>
      </c>
      <c r="B4" s="5" t="s">
        <v>42</v>
      </c>
      <c r="C4" s="5" t="s">
        <v>440</v>
      </c>
    </row>
    <row r="5" spans="1:3" ht="15" customHeight="1">
      <c r="A5" s="4" t="s">
        <v>54</v>
      </c>
      <c r="B5" s="4" t="str">
        <f>SUMIFS(Backlog!$I:$I,Backlog!$L:$L,"*"&amp;$A5&amp;"*",Backlog!$P:$P,"Ja")</f>
        <v/>
      </c>
      <c r="C5" s="17" t="str">
        <f>SUMIFS(Backlog!$J:$J,Backlog!$L:$L,"*"&amp;$A5&amp;"*",Backlog!$P:$P,"Ja")</f>
        <v/>
      </c>
    </row>
    <row r="6" spans="1:3" ht="15" customHeight="1">
      <c r="A6" s="4" t="s">
        <v>152</v>
      </c>
      <c r="B6" s="4" t="str">
        <f>SUMIFS(Backlog!$I:$I,Backlog!$L:$L,"*"&amp;$A6&amp;"*",Backlog!$P:$P,"Ja")</f>
        <v/>
      </c>
      <c r="C6" s="17" t="str">
        <f>SUMIFS(Backlog!$J:$J,Backlog!$L:$L,"*"&amp;$A6&amp;"*",Backlog!$P:$P,"Ja")</f>
        <v/>
      </c>
    </row>
    <row r="7" spans="1:3" ht="15" customHeight="1">
      <c r="A7" s="4" t="s">
        <v>167</v>
      </c>
      <c r="B7" s="4" t="str">
        <f>SUMIFS(Backlog!$I:$I,Backlog!$L:$L,"*"&amp;$A7&amp;"*",Backlog!$P:$P,"Ja")</f>
        <v/>
      </c>
      <c r="C7" s="17" t="str">
        <f>SUMIFS(Backlog!$J:$J,Backlog!$L:$L,"*"&amp;$A7&amp;"*",Backlog!$P:$P,"Ja")</f>
        <v/>
      </c>
    </row>
    <row r="8" spans="1:3" ht="15" customHeight="1">
      <c r="A8" s="4" t="s">
        <v>283</v>
      </c>
      <c r="B8" s="4" t="str">
        <f>SUMIFS(Backlog!$I:$I,Backlog!$L:$L,"*"&amp;$A8&amp;"*",Backlog!$P:$P,"Ja")</f>
        <v/>
      </c>
      <c r="C8" s="17" t="str">
        <f>SUMIFS(Backlog!$J:$J,Backlog!$L:$L,"*"&amp;$A8&amp;"*",Backlog!$P:$P,"Ja")</f>
        <v/>
      </c>
    </row>
    <row r="9" spans="1:3" ht="15" customHeight="1">
      <c r="A9" s="4" t="s">
        <v>323</v>
      </c>
      <c r="B9" s="4" t="str">
        <f>SUMIFS(Backlog!$I:$I,Backlog!$L:$L,"*"&amp;$A9&amp;"*",Backlog!$P:$P,"Ja")</f>
        <v/>
      </c>
      <c r="C9" s="17" t="str">
        <f>SUMIFS(Backlog!$J:$J,Backlog!$L:$L,"*"&amp;$A9&amp;"*",Backlog!$P:$P,"Ja")</f>
        <v/>
      </c>
    </row>
    <row r="10" spans="1:3" ht="15" customHeight="1">
      <c r="A10" s="4" t="s">
        <v>337</v>
      </c>
      <c r="B10" s="4" t="str">
        <f>SUMIFS(Backlog!$I:$I,Backlog!$L:$L,"*"&amp;$A10&amp;"*",Backlog!$P:$P,"Ja")</f>
        <v/>
      </c>
      <c r="C10" s="17" t="str">
        <f>SUMIFS(Backlog!$J:$J,Backlog!$L:$L,"*"&amp;$A10&amp;"*",Backlog!$P:$P,"Ja")</f>
        <v/>
      </c>
    </row>
    <row r="11" spans="1:3" ht="15" customHeight="1">
      <c r="A11" s="4" t="s">
        <v>357</v>
      </c>
      <c r="B11" s="4" t="str">
        <f>SUMIFS(Backlog!$I:$I,Backlog!$L:$L,"*"&amp;$A11&amp;"*",Backlog!$P:$P,"Ja")</f>
        <v/>
      </c>
      <c r="C11" s="17" t="str">
        <f>SUMIFS(Backlog!$J:$J,Backlog!$L:$L,"*"&amp;$A11&amp;"*",Backlog!$P:$P,"Ja")</f>
        <v/>
      </c>
    </row>
    <row r="12" spans="1:3" ht="15" customHeight="1">
      <c r="A12" s="4" t="s">
        <v>375</v>
      </c>
      <c r="B12" s="4" t="str">
        <f>SUMIFS(Backlog!$I:$I,Backlog!$L:$L,"*"&amp;$A12&amp;"*",Backlog!$P:$P,"Ja")</f>
        <v/>
      </c>
      <c r="C12" s="17" t="str">
        <f>SUMIFS(Backlog!$J:$J,Backlog!$L:$L,"*"&amp;$A12&amp;"*",Backlog!$P:$P,"Ja")</f>
        <v/>
      </c>
    </row>
    <row r="13" spans="1:3" ht="15" customHeight="1">
      <c r="A13" s="4" t="s">
        <v>395</v>
      </c>
      <c r="B13" s="4" t="str">
        <f>SUMIFS(Backlog!$I:$I,Backlog!$L:$L,"*"&amp;$A13&amp;"*",Backlog!$P:$P,"Ja")</f>
        <v/>
      </c>
      <c r="C13" s="17" t="str">
        <f>SUMIFS(Backlog!$J:$J,Backlog!$L:$L,"*"&amp;$A13&amp;"*",Backlog!$P:$P,"Ja")</f>
        <v/>
      </c>
    </row>
    <row r="14" spans="1:3" ht="15" customHeight="1">
      <c r="A14" s="4" t="s">
        <v>409</v>
      </c>
      <c r="B14" s="4" t="str">
        <f>SUMIFS(Backlog!$I:$I,Backlog!$L:$L,"*"&amp;$A14&amp;"*",Backlog!$P:$P,"Ja")</f>
        <v/>
      </c>
      <c r="C14" s="17" t="str">
        <f>SUMIFS(Backlog!$J:$J,Backlog!$L:$L,"*"&amp;$A14&amp;"*",Backlog!$P:$P,"Ja")</f>
        <v/>
      </c>
    </row>
    <row r="15" spans="1:3" ht="15" customHeight="1">
      <c r="A15" s="3" t="s">
        <v>441</v>
      </c>
      <c r="B15" s="3" t="str">
        <f>SUM(B5:B14)</f>
        <v/>
      </c>
      <c r="C15" s="18" t="str">
        <f>SUM(C5:C14)</f>
        <v/>
      </c>
    </row>
    <row r="17" spans="1:3" ht="15" customHeight="1">
      <c r="A17" s="5" t="s">
        <v>442</v>
      </c>
      <c r="B17" s="5"/>
      <c r="C17" s="5"/>
    </row>
    <row r="18" spans="1:3" ht="15" customHeight="1">
      <c r="A18" s="4" t="s">
        <v>443</v>
      </c>
      <c r="B18" s="19">
        <v>4</v>
      </c>
      <c r="C18" s="2" t="s">
        <v>444</v>
      </c>
    </row>
    <row r="19" spans="1:3" ht="15" customHeight="1">
      <c r="A19" s="4" t="s">
        <v>445</v>
      </c>
      <c r="B19" s="19">
        <v>16</v>
      </c>
      <c r="C19" s="2" t="s">
        <v>446</v>
      </c>
    </row>
    <row r="20" spans="1:3" ht="15" customHeight="1">
      <c r="A20" s="4" t="s">
        <v>447</v>
      </c>
      <c r="B20" s="19">
        <v>0.8</v>
      </c>
      <c r="C20" s="2" t="s">
        <v>448</v>
      </c>
    </row>
    <row r="21" spans="1:3" ht="15" customHeight="1">
      <c r="A21" s="4" t="s">
        <v>449</v>
      </c>
      <c r="B21" s="19">
        <v>2</v>
      </c>
      <c r="C21" s="2" t="s">
        <v>450</v>
      </c>
    </row>
    <row r="22" spans="1:3" ht="15" customHeight="1">
      <c r="A22" s="3" t="s">
        <v>451</v>
      </c>
      <c r="B22" s="20" t="str">
        <f>B18*B19*B20*B21</f>
        <v/>
      </c>
    </row>
    <row r="23" spans="1:3" ht="15" customHeight="1">
      <c r="A23" s="3" t="s">
        <v>452</v>
      </c>
      <c r="B23" s="20" t="str">
        <f>C15</f>
        <v/>
      </c>
    </row>
    <row r="24" spans="1:3" ht="15" customHeight="1">
      <c r="A24" s="3" t="s">
        <v>453</v>
      </c>
      <c r="B24" s="20" t="str">
        <f>B22-B23</f>
        <v/>
      </c>
      <c r="C24" s="2" t="s">
        <v>454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Normal="100" workbookViewId="0">
      <selection activeCell="B14" sqref="B14"/>
    </sheetView>
  </sheetViews>
  <sheetFormatPr defaultColWidth="8.5703125" defaultRowHeight="15"/>
  <cols>
    <col min="1" max="1" width="16" customWidth="1"/>
    <col min="2" max="2" width="70" customWidth="1"/>
    <col min="3" max="3" width="60" customWidth="1"/>
  </cols>
  <sheetData>
    <row r="1" spans="1:3" ht="15" customHeight="1">
      <c r="A1" s="5" t="s">
        <v>455</v>
      </c>
      <c r="B1" s="5" t="s">
        <v>43</v>
      </c>
      <c r="C1" s="5" t="s">
        <v>456</v>
      </c>
    </row>
    <row r="2" spans="1:3" ht="25.5" customHeight="1">
      <c r="A2" s="21" t="s">
        <v>457</v>
      </c>
      <c r="B2" s="21" t="s">
        <v>458</v>
      </c>
      <c r="C2" s="21" t="s">
        <v>459</v>
      </c>
    </row>
    <row r="3" spans="1:3" ht="25.5" customHeight="1">
      <c r="A3" s="21" t="s">
        <v>460</v>
      </c>
      <c r="B3" s="21" t="s">
        <v>461</v>
      </c>
      <c r="C3" s="21" t="s">
        <v>462</v>
      </c>
    </row>
    <row r="4" spans="1:3" ht="15" customHeight="1">
      <c r="A4" s="21" t="s">
        <v>463</v>
      </c>
      <c r="B4" s="21" t="s">
        <v>464</v>
      </c>
      <c r="C4" s="21" t="s">
        <v>465</v>
      </c>
    </row>
    <row r="5" spans="1:3" ht="15" customHeight="1">
      <c r="A5" s="21" t="s">
        <v>466</v>
      </c>
      <c r="B5" s="21" t="s">
        <v>467</v>
      </c>
      <c r="C5" s="21" t="s">
        <v>468</v>
      </c>
    </row>
    <row r="6" spans="1:3" ht="15" customHeight="1">
      <c r="A6" s="21" t="s">
        <v>469</v>
      </c>
      <c r="B6" s="21" t="s">
        <v>470</v>
      </c>
      <c r="C6" s="21" t="s">
        <v>471</v>
      </c>
    </row>
    <row r="7" spans="1:3" ht="15" customHeight="1">
      <c r="A7" s="21" t="s">
        <v>472</v>
      </c>
      <c r="B7" s="21" t="s">
        <v>473</v>
      </c>
      <c r="C7" s="21" t="s">
        <v>474</v>
      </c>
    </row>
    <row r="8" spans="1:3" ht="15" customHeight="1">
      <c r="A8" s="21" t="s">
        <v>475</v>
      </c>
      <c r="B8" s="21" t="s">
        <v>476</v>
      </c>
      <c r="C8" s="21" t="s">
        <v>477</v>
      </c>
    </row>
    <row r="9" spans="1:3" ht="15" customHeight="1">
      <c r="A9" s="21" t="s">
        <v>478</v>
      </c>
      <c r="B9" s="21" t="s">
        <v>479</v>
      </c>
      <c r="C9" s="21" t="s">
        <v>480</v>
      </c>
    </row>
    <row r="10" spans="1:3" ht="25.5" customHeight="1">
      <c r="A10" s="21" t="s">
        <v>481</v>
      </c>
      <c r="B10" s="21" t="s">
        <v>482</v>
      </c>
      <c r="C10" s="21" t="s">
        <v>483</v>
      </c>
    </row>
    <row r="11" spans="1:3" ht="15" customHeight="1">
      <c r="A11" s="21" t="s">
        <v>484</v>
      </c>
      <c r="B11" s="21" t="s">
        <v>485</v>
      </c>
      <c r="C11" s="21" t="s">
        <v>486</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956d0e-c60f-401e-8ac4-3a64ad162da4">
      <Terms xmlns="http://schemas.microsoft.com/office/infopath/2007/PartnerControls"/>
    </lcf76f155ced4ddcb4097134ff3c332f>
    <TaxCatchAll xmlns="02196dac-b9a1-4c29-b4e1-0f9546ec85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59E4113104454ABBC055C443C6D04C" ma:contentTypeVersion="12" ma:contentTypeDescription="Een nieuw document maken." ma:contentTypeScope="" ma:versionID="8e972fd59e7063c34c850844c1d23f8c">
  <xsd:schema xmlns:xsd="http://www.w3.org/2001/XMLSchema" xmlns:xs="http://www.w3.org/2001/XMLSchema" xmlns:p="http://schemas.microsoft.com/office/2006/metadata/properties" xmlns:ns2="66956d0e-c60f-401e-8ac4-3a64ad162da4" xmlns:ns3="02196dac-b9a1-4c29-b4e1-0f9546ec8559" targetNamespace="http://schemas.microsoft.com/office/2006/metadata/properties" ma:root="true" ma:fieldsID="ee259f013b668841c1fd70a7a7118cad" ns2:_="" ns3:_="">
    <xsd:import namespace="66956d0e-c60f-401e-8ac4-3a64ad162da4"/>
    <xsd:import namespace="02196dac-b9a1-4c29-b4e1-0f9546ec85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956d0e-c60f-401e-8ac4-3a64ad162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6aa0a0a-ab1b-4084-9454-0fab0472597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196dac-b9a1-4c29-b4e1-0f9546ec85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0fad020-4409-44ba-bd10-d7b9034a4014}" ma:internalName="TaxCatchAll" ma:showField="CatchAllData" ma:web="02196dac-b9a1-4c29-b4e1-0f9546ec85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E596F3-3031-4774-8DE4-29CAF95FBDD3}"/>
</file>

<file path=customXml/itemProps2.xml><?xml version="1.0" encoding="utf-8"?>
<ds:datastoreItem xmlns:ds="http://schemas.openxmlformats.org/officeDocument/2006/customXml" ds:itemID="{08F62A9A-DEE0-403D-965C-7DBEF8832F55}"/>
</file>

<file path=customXml/itemProps3.xml><?xml version="1.0" encoding="utf-8"?>
<ds:datastoreItem xmlns:ds="http://schemas.openxmlformats.org/officeDocument/2006/customXml" ds:itemID="{782E4DE6-6725-4CE9-B7F4-41DFF05DD4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Jae Dreijling (student)</cp:lastModifiedBy>
  <cp:revision>0</cp:revision>
  <dcterms:created xsi:type="dcterms:W3CDTF">2026-10-04T18:13:59Z</dcterms:created>
  <dcterms:modified xsi:type="dcterms:W3CDTF">2026-10-06T09:32:45Z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0x0101009759E4113104454ABBC055C443C6D04C</vt:lpwstr>
  </property>
  <property fmtid="{D5CDD505-2E9C-101B-9397-08002B2CF9AE}" pid="3" name="MediaServiceImageTags">
    <vt:lpwstr/>
  </property>
</Properties>
</file>