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85" yWindow="105" windowWidth="21015" windowHeight="15015" tabRatio="600" firstSheet="0" activeTab="0" autoFilterDateGrouping="1"/>
  </bookViews>
  <sheets>
    <sheet xmlns:r="http://schemas.openxmlformats.org/officeDocument/2006/relationships" name="Uitleg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Overzicht" sheetId="3" state="visible" r:id="rId3"/>
    <sheet xmlns:r="http://schemas.openxmlformats.org/officeDocument/2006/relationships" name="Labels" sheetId="4" state="visible" r:id="rId4"/>
  </sheets>
  <definedNames>
    <definedName name="_xlnm._FilterDatabase" localSheetId="1" hidden="1">'Backlog'!$A$1:$Q$118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dd\-mm\-yyyy"/>
    <numFmt numFmtId="166" formatCode="0.0;[Red]\-0.0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sz val="9"/>
    </font>
    <font>
      <name val="Arial"/>
      <color rgb="FF0000FF"/>
      <sz val="10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F00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applyAlignment="1" pivotButton="0" quotePrefix="0" xfId="0">
      <alignment horizontal="right"/>
    </xf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/>
    </xf>
    <xf numFmtId="165" fontId="2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/>
    </xf>
    <xf numFmtId="165" fontId="3" fillId="0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 indent="1"/>
    </xf>
    <xf numFmtId="164" fontId="3" fillId="0" borderId="0" pivotButton="0" quotePrefix="0" xfId="0"/>
    <xf numFmtId="164" fontId="2" fillId="0" borderId="0" pivotButton="0" quotePrefix="0" xfId="0"/>
    <xf numFmtId="0" fontId="6" fillId="4" borderId="0" pivotButton="0" quotePrefix="0" xfId="0"/>
    <xf numFmtId="166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Jae</author>
  </authors>
  <commentList>
    <comment ref="J1" authorId="0" shapeId="0">
      <text>
        <t>Persoonsuren, alleen op sub-tasks (meeting van 1 uur met 4 personen = 4).</t>
      </text>
    </comment>
    <comment ref="N1" authorId="0" shapeId="0">
      <text>
        <t>Gele cellen: naam invullen in de sprintplanning!</t>
      </text>
    </comment>
    <comment ref="P1" authorId="0" shapeId="0">
      <text>
        <t>Nee = telt niet mee in de totalen op Overzicht (bv. de variant die je niet bouwt, of stretch-taken die je schrapt).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workbookViewId="0">
      <selection activeCell="C4" sqref="C4"/>
    </sheetView>
  </sheetViews>
  <sheetFormatPr baseColWidth="8" defaultRowHeight="15"/>
  <cols>
    <col width="10" customWidth="1" min="1" max="1"/>
    <col width="13" customWidth="1" min="2" max="2"/>
    <col width="20" customWidth="1" min="3" max="3"/>
    <col width="11" customWidth="1" min="4" max="4"/>
    <col width="18" customWidth="1" min="5" max="5"/>
    <col width="8" customWidth="1" min="6" max="6"/>
    <col width="12" customWidth="1" min="7" max="7"/>
    <col width="9" customWidth="1" min="8" max="8"/>
    <col width="11" customWidth="1" min="9" max="9"/>
    <col width="10" customWidth="1" min="10" max="10"/>
    <col width="9" customWidth="1" min="11" max="11"/>
  </cols>
  <sheetData>
    <row r="1" ht="18" customHeight="1">
      <c r="A1" s="1" t="inlineStr">
        <is>
          <t>Scrumboard DS2a (designsprint 2, eerste helft): voorbereiding Jira</t>
        </is>
      </c>
    </row>
    <row r="2">
      <c r="A2" s="2" t="inlineStr">
        <is>
          <t>EVEN NOTITIE: aangezien we in onze sprint EN een keuze willen maken voor concept EN een prototype willen maken referreer ik naar "DS2A" als "DeelSprint 2 A" als in de eerste helft van de sprint.</t>
        </is>
      </c>
    </row>
    <row r="3">
      <c r="A3" s="2" t="inlineStr">
        <is>
          <t>oh en DS2B als deelsprint 2 B (tweede helft)</t>
        </is>
      </c>
    </row>
    <row r="4">
      <c r="A4" s="4" t="n"/>
    </row>
    <row r="5">
      <c r="A5" s="4" t="inlineStr">
        <is>
          <t>Tabbladen</t>
        </is>
      </c>
    </row>
    <row r="6">
      <c r="A6" s="3" t="inlineStr">
        <is>
          <t>Backlog: alle epics, tickets en sub-tasks (voor de import)</t>
        </is>
      </c>
    </row>
    <row r="7">
      <c r="A7" s="3" t="inlineStr">
        <is>
          <t>Overzicht: story points + uren per epic, plus de capaciteitscheck voor eerstge heflt van de sprint</t>
        </is>
      </c>
    </row>
    <row r="8">
      <c r="A8" s="3" t="inlineStr">
        <is>
          <t>Labels: alle labels + waarvoor ze zijn.</t>
        </is>
      </c>
    </row>
    <row r="9">
      <c r="A9" s="3" t="n"/>
    </row>
    <row r="10">
      <c r="A10" s="4" t="inlineStr">
        <is>
          <t>Wat moet je invullen?</t>
        </is>
      </c>
    </row>
    <row r="11">
      <c r="A11" s="3" t="inlineStr">
        <is>
          <t>Gele cellen:  de capaciteits-aannames op Overzicht.</t>
        </is>
      </c>
    </row>
    <row r="12">
      <c r="A12" s="3" t="inlineStr">
        <is>
          <t>Telt mee: op Nee zetten voor werk dat we schrappen of naar de tweeede helft van sprint 2 schuiven; dan klopt het totaal weer.</t>
        </is>
      </c>
    </row>
    <row r="13">
      <c r="A13" s="3" t="inlineStr">
        <is>
          <t>Schattingen, prioriteit en due dates = voorstellen! Samen aanpassen in de sprintplanning.</t>
        </is>
      </c>
    </row>
    <row r="14">
      <c r="A14" s="3" t="n"/>
    </row>
    <row r="15">
      <c r="A15" s="4" t="inlineStr">
        <is>
          <t>Kolommen voor de Jira-import</t>
        </is>
      </c>
    </row>
    <row r="16">
      <c r="A16" s="3" t="inlineStr">
        <is>
          <t>Kolomnamen (Summary, Issue Type, Priority, Labels, Due Date, Story Points, Sprint, Assignee) = de Jira-veldnamen, zodat koppelen bij het importeren makkelijk gaat.</t>
        </is>
      </c>
    </row>
    <row r="17">
      <c r="A17" s="3" t="inlineStr">
        <is>
          <t>Issue Id + Parent Id = de structuur (Epic → Story/Task → Sub-task). Deze nummers NIET aanpassen; nieuwe rij = nieuw, uniek nummer.</t>
        </is>
      </c>
    </row>
    <row r="18">
      <c r="A18" s="3" t="inlineStr">
        <is>
          <t>Ref, Epic, Telt mee en Notitie zijn alleen voor ons (niet importeren).</t>
        </is>
      </c>
    </row>
    <row r="19">
      <c r="A19" s="3" t="inlineStr">
        <is>
          <t>Original Estimate staat in uren; Jira wil bij een CSV-import vaak seconden (omzetten doen we bij het maken van de CSV).</t>
        </is>
      </c>
    </row>
    <row r="20">
      <c r="A20" s="3" t="inlineStr">
        <is>
          <t>Labels staan met een spatie ertussen in één cel; misschien moeten ze over meerdere kolommen (hangt af van de import-instellingen, ook regelen bij de CSV).</t>
        </is>
      </c>
    </row>
    <row r="21">
      <c r="A21" s="3" t="n"/>
    </row>
    <row r="22">
      <c r="A22" s="4" t="inlineStr">
        <is>
          <t>Voorbeeld van een ingevulde rij (sub-task)</t>
        </is>
      </c>
    </row>
    <row r="23">
      <c r="A23" s="5" t="inlineStr">
        <is>
          <t>Ref</t>
        </is>
      </c>
      <c r="B23" s="5" t="inlineStr">
        <is>
          <t>Issue Id</t>
        </is>
      </c>
      <c r="C23" s="5" t="inlineStr">
        <is>
          <t>Parent Id</t>
        </is>
      </c>
      <c r="D23" s="5" t="inlineStr">
        <is>
          <t>Issue Type</t>
        </is>
      </c>
      <c r="E23" s="5" t="inlineStr">
        <is>
          <t>Summary</t>
        </is>
      </c>
      <c r="F23" s="5" t="inlineStr">
        <is>
          <t>Sprint</t>
        </is>
      </c>
      <c r="G23" s="5" t="inlineStr">
        <is>
          <t>Original Estimate (uren)</t>
        </is>
      </c>
      <c r="H23" s="5" t="inlineStr">
        <is>
          <t>Priority</t>
        </is>
      </c>
      <c r="I23" s="5" t="inlineStr">
        <is>
          <t>Due Date</t>
        </is>
      </c>
      <c r="J23" s="5" t="inlineStr">
        <is>
          <t>Assignee</t>
        </is>
      </c>
      <c r="K23" s="5" t="inlineStr">
        <is>
          <t>Telt mee</t>
        </is>
      </c>
    </row>
    <row r="24">
      <c r="A24" s="3" t="inlineStr">
        <is>
          <t>S2-08.2</t>
        </is>
      </c>
      <c r="B24" s="3" t="inlineStr">
        <is>
          <t>(automatisch)</t>
        </is>
      </c>
      <c r="C24" s="3" t="inlineStr">
        <is>
          <t>(Issue Id van S2-08)</t>
        </is>
      </c>
      <c r="D24" s="3" t="inlineStr">
        <is>
          <t>Sub-task</t>
        </is>
      </c>
      <c r="E24" s="3" t="inlineStr">
        <is>
          <t>Interviewguide</t>
        </is>
      </c>
      <c r="F24" s="3" t="inlineStr">
        <is>
          <t>DS2a</t>
        </is>
      </c>
      <c r="G24" s="6" t="n">
        <v>2</v>
      </c>
      <c r="H24" s="3" t="inlineStr">
        <is>
          <t>Highest</t>
        </is>
      </c>
      <c r="I24" s="3" t="inlineStr">
        <is>
          <t>08-10-2026</t>
        </is>
      </c>
      <c r="J24" s="3" t="inlineStr">
        <is>
          <t>Maryam</t>
        </is>
      </c>
      <c r="K24" s="3" t="inlineStr">
        <is>
          <t>Ja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3"/>
  <sheetViews>
    <sheetView workbookViewId="0">
      <pane xSplit="5" ySplit="1" topLeftCell="F32" activePane="bottomRight" state="frozen"/>
      <selection pane="topRight" activeCell="A1" sqref="A1"/>
      <selection pane="bottomLeft" activeCell="A1" sqref="A1"/>
      <selection pane="bottomRight" activeCell="E37" sqref="E37"/>
    </sheetView>
  </sheetViews>
  <sheetFormatPr baseColWidth="8" defaultRowHeight="15"/>
  <cols>
    <col width="9" customWidth="1" min="1" max="3"/>
    <col width="10" customWidth="1" min="4" max="4"/>
    <col width="55" customWidth="1" min="5" max="5"/>
    <col width="60" customWidth="1" min="6" max="6"/>
    <col width="30" customWidth="1" min="7" max="7"/>
    <col width="9" customWidth="1" min="8" max="8"/>
    <col width="8" customWidth="1" min="9" max="9"/>
    <col width="11" customWidth="1" min="10" max="10"/>
    <col width="9" customWidth="1" min="11" max="11"/>
    <col width="40" customWidth="1" min="12" max="12"/>
    <col width="11" customWidth="1" min="13" max="13"/>
    <col width="16" customWidth="1" min="14" max="14"/>
    <col width="9" customWidth="1" min="15" max="16"/>
    <col width="45" customWidth="1" min="17" max="17"/>
  </cols>
  <sheetData>
    <row r="1" ht="30" customHeight="1">
      <c r="A1" s="7" t="inlineStr">
        <is>
          <t>Ref</t>
        </is>
      </c>
      <c r="B1" s="7" t="inlineStr">
        <is>
          <t>Issue Id</t>
        </is>
      </c>
      <c r="C1" s="7" t="inlineStr">
        <is>
          <t>Parent Id</t>
        </is>
      </c>
      <c r="D1" s="7" t="inlineStr">
        <is>
          <t>Issue Type</t>
        </is>
      </c>
      <c r="E1" s="7" t="inlineStr">
        <is>
          <t>Summary</t>
        </is>
      </c>
      <c r="F1" s="7" t="inlineStr">
        <is>
          <t>Description</t>
        </is>
      </c>
      <c r="G1" s="7" t="inlineStr">
        <is>
          <t>Epic</t>
        </is>
      </c>
      <c r="H1" s="7" t="inlineStr">
        <is>
          <t>Sprint</t>
        </is>
      </c>
      <c r="I1" s="7" t="inlineStr">
        <is>
          <t>Story Points</t>
        </is>
      </c>
      <c r="J1" s="7" t="inlineStr">
        <is>
          <t>Original Estimate (uren)</t>
        </is>
      </c>
      <c r="K1" s="7" t="inlineStr">
        <is>
          <t>Priority</t>
        </is>
      </c>
      <c r="L1" s="7" t="inlineStr">
        <is>
          <t>Labels</t>
        </is>
      </c>
      <c r="M1" s="7" t="inlineStr">
        <is>
          <t>Due Date</t>
        </is>
      </c>
      <c r="N1" s="7" t="inlineStr">
        <is>
          <t>Assignee</t>
        </is>
      </c>
      <c r="O1" s="7" t="inlineStr">
        <is>
          <t>Status</t>
        </is>
      </c>
      <c r="P1" s="7" t="inlineStr">
        <is>
          <t>Telt mee</t>
        </is>
      </c>
      <c r="Q1" s="7" t="inlineStr">
        <is>
          <t>Notitie</t>
        </is>
      </c>
    </row>
    <row r="2" ht="38.25" customHeight="1">
      <c r="A2" s="8" t="inlineStr">
        <is>
          <t>E1</t>
        </is>
      </c>
      <c r="B2" s="8" t="n">
        <v>1</v>
      </c>
      <c r="C2" s="8" t="n"/>
      <c r="D2" s="8" t="inlineStr">
        <is>
          <t>Epic</t>
        </is>
      </c>
      <c r="E2" s="9" t="inlineStr">
        <is>
          <t>Sprint 1 afronden &amp; openstaande actiepunten</t>
        </is>
      </c>
      <c r="F2" s="9" t="inlineStr">
        <is>
          <t>Waarom: alles wat nog openstaat uit sprint 1 (onderzoeksplan v1.0, retro, actiepunten opdrachtgever) afronden, zodat we DS2a met een schone lei beginnen.</t>
        </is>
      </c>
      <c r="G2" s="8" t="inlineStr">
        <is>
          <t>Sprint 1 afronden &amp; openstaande actiepunten</t>
        </is>
      </c>
      <c r="H2" s="8" t="n"/>
      <c r="I2" s="8" t="n"/>
      <c r="J2" s="10" t="n"/>
      <c r="K2" s="8" t="n"/>
      <c r="L2" s="9" t="n"/>
      <c r="M2" s="11" t="n"/>
      <c r="N2" s="8" t="n"/>
      <c r="O2" s="8" t="inlineStr">
        <is>
          <t>To Do</t>
        </is>
      </c>
      <c r="P2" s="8" t="inlineStr">
        <is>
          <t>Ja</t>
        </is>
      </c>
      <c r="Q2" s="9" t="n"/>
    </row>
    <row r="3" ht="38.25" customHeight="1">
      <c r="A3" s="8" t="inlineStr">
        <is>
          <t>E2</t>
        </is>
      </c>
      <c r="B3" s="8" t="n">
        <v>2</v>
      </c>
      <c r="C3" s="8" t="n"/>
      <c r="D3" s="8" t="inlineStr">
        <is>
          <t>Epic</t>
        </is>
      </c>
      <c r="E3" s="9" t="inlineStr">
        <is>
          <t>Proces &amp; Jira</t>
        </is>
      </c>
      <c r="F3" s="9" t="inlineStr">
        <is>
          <t>Waarom: het board, de werkafspraken en de scrum-ceremonies. Stand-ups en reviews tellen alleen mee als ze ZICHTBAAR zijn</t>
        </is>
      </c>
      <c r="G3" s="8" t="inlineStr">
        <is>
          <t>Proces &amp; Jira</t>
        </is>
      </c>
      <c r="H3" s="8" t="n"/>
      <c r="I3" s="8" t="n"/>
      <c r="J3" s="10" t="n"/>
      <c r="K3" s="8" t="n"/>
      <c r="L3" s="9" t="n"/>
      <c r="M3" s="11" t="n"/>
      <c r="N3" s="8" t="n"/>
      <c r="O3" s="8" t="inlineStr">
        <is>
          <t>To Do</t>
        </is>
      </c>
      <c r="P3" s="8" t="inlineStr">
        <is>
          <t>Ja</t>
        </is>
      </c>
      <c r="Q3" s="9" t="n"/>
    </row>
    <row r="4" ht="38.25" customHeight="1">
      <c r="A4" s="8" t="inlineStr">
        <is>
          <t>E3</t>
        </is>
      </c>
      <c r="B4" s="8" t="n">
        <v>3</v>
      </c>
      <c r="C4" s="8" t="n"/>
      <c r="D4" s="8" t="inlineStr">
        <is>
          <t>Epic</t>
        </is>
      </c>
      <c r="E4" s="9" t="inlineStr">
        <is>
          <t>Doelgroeponderzoek &amp; concepttoets</t>
        </is>
      </c>
      <c r="F4" s="9" t="inlineStr">
        <is>
          <t>Waarom: uitzoeken wat de doelgroep weet, denkt en wil, en de drie concepten bij ze toetsen; de basis voor de conceptkeuze (deelvraag 2 + 3).</t>
        </is>
      </c>
      <c r="G4" s="8" t="inlineStr">
        <is>
          <t>Doelgroeponderzoek &amp; concepttoets</t>
        </is>
      </c>
      <c r="H4" s="8" t="n"/>
      <c r="I4" s="8" t="n"/>
      <c r="J4" s="10" t="n"/>
      <c r="K4" s="8" t="n"/>
      <c r="L4" s="9" t="n"/>
      <c r="M4" s="11" t="n"/>
      <c r="N4" s="8" t="n"/>
      <c r="O4" s="8" t="inlineStr">
        <is>
          <t>To Do</t>
        </is>
      </c>
      <c r="P4" s="8" t="inlineStr">
        <is>
          <t>Ja</t>
        </is>
      </c>
      <c r="Q4" s="9" t="n"/>
    </row>
    <row r="5" ht="51" customHeight="1">
      <c r="A5" s="8" t="inlineStr">
        <is>
          <t>E4</t>
        </is>
      </c>
      <c r="B5" s="8" t="n">
        <v>4</v>
      </c>
      <c r="C5" s="8" t="n"/>
      <c r="D5" s="8" t="inlineStr">
        <is>
          <t>Epic</t>
        </is>
      </c>
      <c r="E5" s="9" t="inlineStr">
        <is>
          <t>Conceptkeuze</t>
        </is>
      </c>
      <c r="F5" s="9" t="inlineStr">
        <is>
          <t>Waarom: op 16 okt onderbouwd één concept kiezen (beslismatrix + toetsresultaten + haalbaarheid), met het waarom in het beslissingenlog. (ik gok 16 okt aangezien we ook al een prototype willen hebben)</t>
        </is>
      </c>
      <c r="G5" s="8" t="inlineStr">
        <is>
          <t>Conceptkeuze</t>
        </is>
      </c>
      <c r="H5" s="8" t="n"/>
      <c r="I5" s="8" t="n"/>
      <c r="J5" s="10" t="n"/>
      <c r="K5" s="8" t="n"/>
      <c r="L5" s="9" t="n"/>
      <c r="M5" s="11" t="n"/>
      <c r="N5" s="8" t="n"/>
      <c r="O5" s="8" t="inlineStr">
        <is>
          <t>To Do</t>
        </is>
      </c>
      <c r="P5" s="8" t="inlineStr">
        <is>
          <t>Ja</t>
        </is>
      </c>
      <c r="Q5" s="9" t="n"/>
    </row>
    <row r="6" ht="25.5" customHeight="1">
      <c r="A6" s="8" t="inlineStr">
        <is>
          <t>E5</t>
        </is>
      </c>
      <c r="B6" s="8" t="n">
        <v>5</v>
      </c>
      <c r="C6" s="8" t="n"/>
      <c r="D6" s="8" t="inlineStr">
        <is>
          <t>Epic</t>
        </is>
      </c>
      <c r="E6" s="9" t="inlineStr">
        <is>
          <t>Gekozen concept uitwerken</t>
        </is>
      </c>
      <c r="F6" s="9" t="inlineStr">
        <is>
          <t>Waarom: het gekozen concept verder uitwerken. In DS2a alleen de co-creatiesessie plannen; de rest volgt in DS2b.</t>
        </is>
      </c>
      <c r="G6" s="8" t="inlineStr">
        <is>
          <t>Gekozen concept uitwerken</t>
        </is>
      </c>
      <c r="H6" s="8" t="n"/>
      <c r="I6" s="8" t="n"/>
      <c r="J6" s="10" t="n"/>
      <c r="K6" s="8" t="n"/>
      <c r="L6" s="9" t="n"/>
      <c r="M6" s="11" t="n"/>
      <c r="N6" s="8" t="n"/>
      <c r="O6" s="8" t="inlineStr">
        <is>
          <t>To Do</t>
        </is>
      </c>
      <c r="P6" s="8" t="inlineStr">
        <is>
          <t>Ja</t>
        </is>
      </c>
      <c r="Q6" s="9" t="n"/>
    </row>
    <row r="7" ht="25.5" customHeight="1">
      <c r="A7" s="8" t="inlineStr">
        <is>
          <t>E6</t>
        </is>
      </c>
      <c r="B7" s="8" t="n">
        <v>6</v>
      </c>
      <c r="C7" s="8" t="n"/>
      <c r="D7" s="8" t="inlineStr">
        <is>
          <t>Epic</t>
        </is>
      </c>
      <c r="E7" s="9" t="inlineStr">
        <is>
          <t>Haalbaarheid &amp; prototype v1 bouwen</t>
        </is>
      </c>
      <c r="F7" s="9" t="inlineStr">
        <is>
          <t>Waarom: kunnen we het ook echt bouwen? In DS2a alleen de quick scan per concept; het bouwen zelf is DS2b.</t>
        </is>
      </c>
      <c r="G7" s="8" t="inlineStr">
        <is>
          <t>Haalbaarheid &amp; prototype v1 bouwen</t>
        </is>
      </c>
      <c r="H7" s="8" t="n"/>
      <c r="I7" s="8" t="n"/>
      <c r="J7" s="10" t="n"/>
      <c r="K7" s="8" t="n"/>
      <c r="L7" s="9" t="n"/>
      <c r="M7" s="11" t="n"/>
      <c r="N7" s="8" t="n"/>
      <c r="O7" s="8" t="inlineStr">
        <is>
          <t>To Do</t>
        </is>
      </c>
      <c r="P7" s="8" t="inlineStr">
        <is>
          <t>Ja</t>
        </is>
      </c>
      <c r="Q7" s="9" t="n"/>
    </row>
    <row r="8" ht="25.5" customHeight="1">
      <c r="A8" s="8" t="inlineStr">
        <is>
          <t>E8</t>
        </is>
      </c>
      <c r="B8" s="8" t="n">
        <v>7</v>
      </c>
      <c r="C8" s="8" t="n"/>
      <c r="D8" s="8" t="inlineStr">
        <is>
          <t>Epic</t>
        </is>
      </c>
      <c r="E8" s="9" t="inlineStr">
        <is>
          <t>Ethiek &amp; privacy</t>
        </is>
      </c>
      <c r="F8" s="9" t="inlineStr">
        <is>
          <t>Waarom: afspraken over data, toestemming en minderjarigen, plus de ethische afweging per concept (ET2).</t>
        </is>
      </c>
      <c r="G8" s="8" t="inlineStr">
        <is>
          <t>Ethiek &amp; privacy</t>
        </is>
      </c>
      <c r="H8" s="8" t="n"/>
      <c r="I8" s="8" t="n"/>
      <c r="J8" s="10" t="n"/>
      <c r="K8" s="8" t="n"/>
      <c r="L8" s="9" t="n"/>
      <c r="M8" s="11" t="n"/>
      <c r="N8" s="8" t="n"/>
      <c r="O8" s="8" t="inlineStr">
        <is>
          <t>To Do</t>
        </is>
      </c>
      <c r="P8" s="8" t="inlineStr">
        <is>
          <t>Ja</t>
        </is>
      </c>
      <c r="Q8" s="9" t="n"/>
    </row>
    <row r="9" ht="25.5" customHeight="1">
      <c r="A9" s="8" t="inlineStr">
        <is>
          <t>E9</t>
        </is>
      </c>
      <c r="B9" s="8" t="n">
        <v>8</v>
      </c>
      <c r="C9" s="8" t="n"/>
      <c r="D9" s="8" t="inlineStr">
        <is>
          <t>Epic</t>
        </is>
      </c>
      <c r="E9" s="9" t="inlineStr">
        <is>
          <t>Stakeholders</t>
        </is>
      </c>
      <c r="F9" s="9" t="inlineStr">
        <is>
          <t>Waarom: stakeholders up-to-date houden en zichtbaar maken welke belangen er spelen (PR3).</t>
        </is>
      </c>
      <c r="G9" s="8" t="inlineStr">
        <is>
          <t>Stakeholders</t>
        </is>
      </c>
      <c r="H9" s="8" t="n"/>
      <c r="I9" s="8" t="n"/>
      <c r="J9" s="10" t="n"/>
      <c r="K9" s="8" t="n"/>
      <c r="L9" s="9" t="n"/>
      <c r="M9" s="11" t="n"/>
      <c r="N9" s="8" t="n"/>
      <c r="O9" s="8" t="inlineStr">
        <is>
          <t>To Do</t>
        </is>
      </c>
      <c r="P9" s="8" t="inlineStr">
        <is>
          <t>Ja</t>
        </is>
      </c>
      <c r="Q9" s="9" t="n"/>
    </row>
    <row r="10" ht="25.5" customHeight="1">
      <c r="A10" s="8" t="inlineStr">
        <is>
          <t>E10</t>
        </is>
      </c>
      <c r="B10" s="8" t="n">
        <v>9</v>
      </c>
      <c r="C10" s="8" t="n"/>
      <c r="D10" s="8" t="inlineStr">
        <is>
          <t>Epic</t>
        </is>
      </c>
      <c r="E10" s="9" t="inlineStr">
        <is>
          <t>Design Rationale &amp; week-8-toets</t>
        </is>
      </c>
      <c r="F10" s="9" t="inlineStr">
        <is>
          <t>Waarom: de Design Rationale op orde voor de week-8-(toets?) (do 29 okt), en die valt direct na de vakantie!</t>
        </is>
      </c>
      <c r="G10" s="8" t="inlineStr">
        <is>
          <t>Design Rationale &amp; week-8-toets</t>
        </is>
      </c>
      <c r="H10" s="8" t="n"/>
      <c r="I10" s="8" t="n"/>
      <c r="J10" s="10" t="n"/>
      <c r="K10" s="8" t="n"/>
      <c r="L10" s="9" t="n"/>
      <c r="M10" s="11" t="n"/>
      <c r="N10" s="8" t="n"/>
      <c r="O10" s="8" t="inlineStr">
        <is>
          <t>To Do</t>
        </is>
      </c>
      <c r="P10" s="8" t="inlineStr">
        <is>
          <t>Ja</t>
        </is>
      </c>
      <c r="Q10" s="9" t="n"/>
    </row>
    <row r="11" ht="38.25" customHeight="1">
      <c r="A11" s="8" t="inlineStr">
        <is>
          <t>E11</t>
        </is>
      </c>
      <c r="B11" s="8" t="n">
        <v>10</v>
      </c>
      <c r="C11" s="8" t="n"/>
      <c r="D11" s="8" t="inlineStr">
        <is>
          <t>Epic</t>
        </is>
      </c>
      <c r="E11" s="9" t="inlineStr">
        <is>
          <t>Beeldmateriaal (doorlopend)</t>
        </is>
      </c>
      <c r="F11" s="9" t="inlineStr">
        <is>
          <t>Waarom: foto's/screenshots van tussenproducten verzamelen voor de DR, poster, 3 beelden en video (krijg je later nooit meer terug).</t>
        </is>
      </c>
      <c r="G11" s="8" t="inlineStr">
        <is>
          <t>Beeldmateriaal (doorlopend)</t>
        </is>
      </c>
      <c r="H11" s="8" t="n"/>
      <c r="I11" s="8" t="n"/>
      <c r="J11" s="10" t="n"/>
      <c r="K11" s="8" t="n"/>
      <c r="L11" s="9" t="n"/>
      <c r="M11" s="11" t="n"/>
      <c r="N11" s="8" t="n"/>
      <c r="O11" s="8" t="inlineStr">
        <is>
          <t>To Do</t>
        </is>
      </c>
      <c r="P11" s="8" t="inlineStr">
        <is>
          <t>Ja</t>
        </is>
      </c>
      <c r="Q11" s="9" t="n"/>
    </row>
    <row r="12" ht="153" customHeight="1">
      <c r="A12" s="12" t="inlineStr">
        <is>
          <t>S2-01</t>
        </is>
      </c>
      <c r="B12" s="12" t="n">
        <v>11</v>
      </c>
      <c r="C12" s="12" t="n">
        <v>1</v>
      </c>
      <c r="D12" s="12" t="inlineStr">
        <is>
          <t>Task</t>
        </is>
      </c>
      <c r="E12" s="13" t="inlineStr">
        <is>
          <t>Onderzoeksplan v1.0 afmaken + inleveren</t>
        </is>
      </c>
      <c r="F12" s="13" t="inlineStr">
        <is>
          <t>Waarom: het onderzoeksplan is de basis van alles deze sprint, en de go/no-go van de docent hangt ervan af. Deelvragen, analyse-aanpak, kwaliteitscriteria en risico's zijn al gedaan in v0.6 (2-10); wat overblijft: de open opmerkingen in de andere hoofdstukken, de feedback van stakeholderbijeenkomst 1, en inleveren.
Let op: volgens het lesoverzicht sluit het inleveren van de definitieve versie in week 44 (nog navragen bij de docent of dat klopt!). Wij mikken op af vóór de herfstvakantie.
Acceptatiecriteria: alle open opmerkingen afgehandeld of bewust geparkeerd; feedback van 1 okt in het feedbacklog met reactie; hoofdvraag compleet; literatuurlijst gevuld; Word-versie = markdown; versie 1.0 ingeleverd.</t>
        </is>
      </c>
      <c r="G12" s="12" t="inlineStr">
        <is>
          <t>Sprint 1 afronden &amp; openstaande actiepunten</t>
        </is>
      </c>
      <c r="H12" s="12" t="n">
        <v>2</v>
      </c>
      <c r="I12" s="12" t="n">
        <v>5</v>
      </c>
      <c r="J12" s="14" t="n"/>
      <c r="K12" s="12" t="inlineStr">
        <is>
          <t>Highest</t>
        </is>
      </c>
      <c r="L12" s="13" t="inlineStr">
        <is>
          <t>documentatie op1 op2 op3</t>
        </is>
      </c>
      <c r="M12" s="15" t="n">
        <v>46311</v>
      </c>
      <c r="N12" s="16" t="n"/>
      <c r="O12" s="12" t="inlineStr">
        <is>
          <t>To Do</t>
        </is>
      </c>
      <c r="P12" s="12" t="inlineStr">
        <is>
          <t>Ja</t>
        </is>
      </c>
      <c r="Q12" s="13" t="n"/>
    </row>
    <row r="13" ht="25.5" customHeight="1">
      <c r="A13" s="12" t="inlineStr">
        <is>
          <t>S2-01.1</t>
        </is>
      </c>
      <c r="B13" s="12" t="n">
        <v>12</v>
      </c>
      <c r="C13" s="12" t="n">
        <v>11</v>
      </c>
      <c r="D13" s="12" t="inlineStr">
        <is>
          <t>Sub-task</t>
        </is>
      </c>
      <c r="E13" s="17" t="inlineStr">
        <is>
          <t>Feedback stakeholderbijeenkomst 1 in feedbacklog zetten, per punt een reactie</t>
        </is>
      </c>
      <c r="F13" s="13" t="inlineStr">
        <is>
          <t>Wat: alle feedback van stakeholderbijeenkomst 1 (1 okt) in het feedbacklog, per punt: overgenomen / aangepast / geparkeerd + reden.
Waarom: feedback telt alleen als zichtbaar is wat we ermee deden (PR4).</t>
        </is>
      </c>
      <c r="G13" s="12" t="inlineStr">
        <is>
          <t>Sprint 1 afronden &amp; openstaande actiepunten</t>
        </is>
      </c>
      <c r="H13" s="12" t="n">
        <v>2</v>
      </c>
      <c r="I13" s="12" t="n"/>
      <c r="J13" s="14" t="n">
        <v>1</v>
      </c>
      <c r="K13" s="12" t="inlineStr">
        <is>
          <t>Highest</t>
        </is>
      </c>
      <c r="L13" s="13" t="n"/>
      <c r="M13" s="15" t="n">
        <v>46311</v>
      </c>
      <c r="N13" s="16" t="n"/>
      <c r="O13" s="12" t="inlineStr">
        <is>
          <t>To Do</t>
        </is>
      </c>
      <c r="P13" s="12" t="inlineStr">
        <is>
          <t>Ja</t>
        </is>
      </c>
      <c r="Q13" s="13" t="n"/>
    </row>
    <row r="14" ht="25.5" customHeight="1">
      <c r="A14" s="12" t="inlineStr">
        <is>
          <t>S2-01.2</t>
        </is>
      </c>
      <c r="B14" s="12" t="n">
        <v>13</v>
      </c>
      <c r="C14" s="12" t="n">
        <v>11</v>
      </c>
      <c r="D14" s="12" t="inlineStr">
        <is>
          <t>Sub-task</t>
        </is>
      </c>
      <c r="E14" s="17" t="inlineStr">
        <is>
          <t>Hoofdvraag afmaken + afstemmen op doelstelling en aantal contactmomenten</t>
        </is>
      </c>
      <c r="F14" s="13" t="inlineStr">
        <is>
          <t>Hoofdvraag afmaken en vaststellen; ook checken of hij past bij de doelstelling en de contactmomenten.
Waarom: zonder complete hoofdvraag is het plan niet af (OP1).</t>
        </is>
      </c>
      <c r="G14" s="12" t="inlineStr">
        <is>
          <t>Sprint 1 afronden &amp; openstaande actiepunten</t>
        </is>
      </c>
      <c r="H14" s="12" t="n">
        <v>2</v>
      </c>
      <c r="I14" s="12" t="n"/>
      <c r="J14" s="14" t="n">
        <v>1</v>
      </c>
      <c r="K14" s="12" t="inlineStr">
        <is>
          <t>Highest</t>
        </is>
      </c>
      <c r="L14" s="13" t="n"/>
      <c r="M14" s="15" t="n">
        <v>46311</v>
      </c>
      <c r="N14" s="16" t="n"/>
      <c r="O14" s="12" t="inlineStr">
        <is>
          <t>To Do</t>
        </is>
      </c>
      <c r="P14" s="12" t="inlineStr">
        <is>
          <t>Ja</t>
        </is>
      </c>
      <c r="Q14" s="13" t="n"/>
    </row>
    <row r="15" ht="25.5" customHeight="1">
      <c r="A15" s="12" t="inlineStr">
        <is>
          <t>S2-01.3</t>
        </is>
      </c>
      <c r="B15" s="12" t="n">
        <v>14</v>
      </c>
      <c r="C15" s="12" t="n">
        <v>11</v>
      </c>
      <c r="D15" s="12" t="inlineStr">
        <is>
          <t>Sub-task</t>
        </is>
      </c>
      <c r="E15" s="17" t="inlineStr">
        <is>
          <t>Bronvermelding notulen 23-9 en citaten opdrachtgever in de inleiding</t>
        </is>
      </c>
      <c r="F15" s="13" t="inlineStr">
        <is>
          <t>Wat: bij de aanleiding de notulen van 23-9 als bron noemen, ook voor de citaten ("slecht en bagger", "waardeloos") en de Infra-instroom.
Waarom: zo is zichtbaar dat we ons baseren op oriënterend onderzoek in het veld (OP1 voldoende).</t>
        </is>
      </c>
      <c r="G15" s="12" t="inlineStr">
        <is>
          <t>Sprint 1 afronden &amp; openstaande actiepunten</t>
        </is>
      </c>
      <c r="H15" s="12" t="n">
        <v>2</v>
      </c>
      <c r="I15" s="12" t="n"/>
      <c r="J15" s="14" t="n">
        <v>1</v>
      </c>
      <c r="K15" s="12" t="inlineStr">
        <is>
          <t>Highest</t>
        </is>
      </c>
      <c r="L15" s="13" t="n"/>
      <c r="M15" s="15" t="n">
        <v>46311</v>
      </c>
      <c r="N15" s="16" t="n"/>
      <c r="O15" s="12" t="inlineStr">
        <is>
          <t>To Do</t>
        </is>
      </c>
      <c r="P15" s="12" t="inlineStr">
        <is>
          <t>Ja</t>
        </is>
      </c>
      <c r="Q15" s="13" t="n"/>
    </row>
    <row r="16" ht="63.75" customHeight="1">
      <c r="A16" s="12" t="inlineStr">
        <is>
          <t>S2-01.4</t>
        </is>
      </c>
      <c r="B16" s="12" t="n">
        <v>15</v>
      </c>
      <c r="C16" s="12" t="n">
        <v>11</v>
      </c>
      <c r="D16" s="12" t="inlineStr">
        <is>
          <t>Sub-task</t>
        </is>
      </c>
      <c r="E16" s="17" t="inlineStr">
        <is>
          <t>Theoretisch kader uitschrijven</t>
        </is>
      </c>
      <c r="F16" s="23" t="inlineStr">
        <is>
          <t xml:space="preserve">Wat: het theoretisch kader uitschrijven: de begrippen die we gebruiken (bv. doelgroepsegmentatie, co-creatie, AI/ML) met definitie + bron.
Waarom: Ik heerinner dat Karlijn er iets over gezegd had, ik weet de details niet meer, dus verbeter deze ticket graag; </t>
        </is>
      </c>
      <c r="G16" s="12" t="inlineStr">
        <is>
          <t>Sprint 1 afronden &amp; openstaande actiepunten</t>
        </is>
      </c>
      <c r="H16" s="12" t="n">
        <v>2</v>
      </c>
      <c r="I16" s="12" t="n"/>
      <c r="J16" s="14" t="n">
        <v>2</v>
      </c>
      <c r="K16" s="12" t="inlineStr">
        <is>
          <t>Highest</t>
        </is>
      </c>
      <c r="L16" s="13" t="n"/>
      <c r="M16" s="15" t="n">
        <v>46311</v>
      </c>
      <c r="N16" s="16" t="n"/>
      <c r="O16" s="12" t="inlineStr">
        <is>
          <t>To Do</t>
        </is>
      </c>
      <c r="P16" s="12" t="inlineStr">
        <is>
          <t>Ja</t>
        </is>
      </c>
      <c r="Q16" s="13" t="n"/>
    </row>
    <row r="17" ht="25.5" customHeight="1">
      <c r="A17" s="12" t="inlineStr">
        <is>
          <t>S2-01.5</t>
        </is>
      </c>
      <c r="B17" s="12" t="n">
        <v>16</v>
      </c>
      <c r="C17" s="12" t="n">
        <v>11</v>
      </c>
      <c r="D17" s="12" t="inlineStr">
        <is>
          <t>Sub-task</t>
        </is>
      </c>
      <c r="E17" s="17" t="inlineStr">
        <is>
          <t xml:space="preserve"> "3 momenten" in de aanleiding afhandelen</t>
        </is>
      </c>
      <c r="F17" s="13" t="inlineStr">
        <is>
          <t>Wat: Bart vroeg of de zin over "3 momenten" moet blijven; samen beslissen (het zijn er eigenlijk 4) en aanpassen.
Waarom: open opmerking, en de aanleiding moet kloppen met de rest van het plan.</t>
        </is>
      </c>
      <c r="G17" s="12" t="inlineStr">
        <is>
          <t>Sprint 1 afronden &amp; openstaande actiepunten</t>
        </is>
      </c>
      <c r="H17" s="12" t="n">
        <v>2</v>
      </c>
      <c r="I17" s="12" t="n"/>
      <c r="J17" s="14" t="n">
        <v>0.5</v>
      </c>
      <c r="K17" s="12" t="inlineStr">
        <is>
          <t>Highest</t>
        </is>
      </c>
      <c r="L17" s="13" t="n"/>
      <c r="M17" s="15" t="n">
        <v>46311</v>
      </c>
      <c r="N17" s="16" t="n"/>
      <c r="O17" s="12" t="inlineStr">
        <is>
          <t>To Do</t>
        </is>
      </c>
      <c r="P17" s="12" t="inlineStr">
        <is>
          <t>Ja</t>
        </is>
      </c>
      <c r="Q17" s="13" t="n"/>
    </row>
    <row r="18" ht="25.5" customHeight="1">
      <c r="A18" s="12" t="inlineStr">
        <is>
          <t>S2-01.6</t>
        </is>
      </c>
      <c r="B18" s="12" t="n">
        <v>17</v>
      </c>
      <c r="C18" s="12" t="n">
        <v>11</v>
      </c>
      <c r="D18" s="12" t="inlineStr">
        <is>
          <t>Sub-task</t>
        </is>
      </c>
      <c r="E18" s="17" t="inlineStr">
        <is>
          <t>Literatuurlijst invullen (alle bronnen uit het plan,  APA)</t>
        </is>
      </c>
      <c r="F18" s="13" t="inlineStr">
        <is>
          <t>Wat: alle gebruikte bronnen (lesmateriaal, notulen, rubrics, deskresearch) in één stijl in de literatuurlijst.
Waarom: de lijst is nu nog leeg, en bronnen moeten controleerbaar zijn.</t>
        </is>
      </c>
      <c r="G18" s="12" t="inlineStr">
        <is>
          <t>Sprint 1 afronden &amp; openstaande actiepunten</t>
        </is>
      </c>
      <c r="H18" s="12" t="n">
        <v>2</v>
      </c>
      <c r="I18" s="12" t="n"/>
      <c r="J18" s="14" t="n">
        <v>1.5</v>
      </c>
      <c r="K18" s="12" t="inlineStr">
        <is>
          <t>Highest</t>
        </is>
      </c>
      <c r="L18" s="13" t="n"/>
      <c r="M18" s="15" t="n">
        <v>46311</v>
      </c>
      <c r="N18" s="16" t="n"/>
      <c r="O18" s="12" t="inlineStr">
        <is>
          <t>To Do</t>
        </is>
      </c>
      <c r="P18" s="12" t="inlineStr">
        <is>
          <t>Ja</t>
        </is>
      </c>
      <c r="Q18" s="13" t="n"/>
    </row>
    <row r="19" ht="38.25" customHeight="1">
      <c r="A19" s="12" t="inlineStr">
        <is>
          <t>S2-01.7</t>
        </is>
      </c>
      <c r="B19" s="12" t="n">
        <v>18</v>
      </c>
      <c r="C19" s="12" t="n">
        <v>11</v>
      </c>
      <c r="D19" s="12" t="inlineStr">
        <is>
          <t>Sub-task</t>
        </is>
      </c>
      <c r="E19" s="17" t="inlineStr">
        <is>
          <t>Deelvragen toetsen</t>
        </is>
      </c>
      <c r="F19" s="13" t="inlineStr">
        <is>
          <t>Wat: de verbeterede deelvragen toetsen voor bruikbaarheid.
Waarom: Zonder deelvragen kunnen we de hoofdvraag niet goed beantwoorden</t>
        </is>
      </c>
      <c r="G19" s="12" t="inlineStr">
        <is>
          <t>Sprint 1 afronden &amp; openstaande actiepunten</t>
        </is>
      </c>
      <c r="H19" s="12" t="n">
        <v>2</v>
      </c>
      <c r="I19" s="12" t="n"/>
      <c r="J19" s="14" t="n">
        <v>1</v>
      </c>
      <c r="K19" s="12" t="inlineStr">
        <is>
          <t>Highest</t>
        </is>
      </c>
      <c r="L19" s="13" t="n"/>
      <c r="M19" s="15" t="n">
        <v>46311</v>
      </c>
      <c r="N19" s="16" t="n"/>
      <c r="O19" s="12" t="inlineStr">
        <is>
          <t>To Do</t>
        </is>
      </c>
      <c r="P19" s="12" t="inlineStr">
        <is>
          <t>Ja</t>
        </is>
      </c>
      <c r="Q19" s="13" t="n"/>
    </row>
    <row r="20" ht="25.5" customHeight="1">
      <c r="A20" s="12" t="inlineStr">
        <is>
          <t>S2-01.8</t>
        </is>
      </c>
      <c r="B20" s="12" t="n">
        <v>19</v>
      </c>
      <c r="C20" s="12" t="n">
        <v>11</v>
      </c>
      <c r="D20" s="12" t="inlineStr">
        <is>
          <t>Sub-task</t>
        </is>
      </c>
      <c r="E20" s="17" t="inlineStr">
        <is>
          <t>Laatste check tegen de rubric onderzoeksplan (OP1–OP3) door een teamgenoot</t>
        </is>
      </c>
      <c r="F20" s="13" t="inlineStr">
        <is>
          <t>Wat: iemand die het niet zelf schreef leest het plan na met de rubric onderzoeksplan ernaast (OP1–OP3).
Waarom: een frisse blik vangt wat wij missen, en het is meteen "constructief kritisch op andermans werk" (PR2).</t>
        </is>
      </c>
      <c r="G20" s="12" t="inlineStr">
        <is>
          <t>Sprint 1 afronden &amp; openstaande actiepunten</t>
        </is>
      </c>
      <c r="H20" s="12" t="n">
        <v>2</v>
      </c>
      <c r="I20" s="12" t="n"/>
      <c r="J20" s="14" t="n">
        <v>1</v>
      </c>
      <c r="K20" s="12" t="inlineStr">
        <is>
          <t>Highest</t>
        </is>
      </c>
      <c r="L20" s="13" t="n"/>
      <c r="M20" s="15" t="n">
        <v>46311</v>
      </c>
      <c r="N20" s="16" t="n"/>
      <c r="O20" s="12" t="inlineStr">
        <is>
          <t>To Do</t>
        </is>
      </c>
      <c r="P20" s="12" t="inlineStr">
        <is>
          <t>Ja</t>
        </is>
      </c>
      <c r="Q20" s="13" t="n"/>
    </row>
    <row r="21" ht="38.25" customHeight="1">
      <c r="A21" s="12" t="inlineStr">
        <is>
          <t>S2-01.9</t>
        </is>
      </c>
      <c r="B21" s="12" t="n">
        <v>20</v>
      </c>
      <c r="C21" s="12" t="n">
        <v>11</v>
      </c>
      <c r="D21" s="12" t="inlineStr">
        <is>
          <t>Sub-task</t>
        </is>
      </c>
      <c r="E21" s="17" t="inlineStr">
        <is>
          <t>Navragen bij docent: wanneer + waar inleveren?</t>
        </is>
      </c>
      <c r="F21" s="13" t="inlineStr">
        <is>
          <t>Wat: navragen of de definitieve versie in week 44 ingeleverd moet worden (zo staat het in het lesoverzicht), en waar/hoe.
Waarom: de deadline is onduidelijk; liever niet gokken!</t>
        </is>
      </c>
      <c r="G21" s="12" t="inlineStr">
        <is>
          <t>Sprint 1 afronden &amp; openstaande actiepunten</t>
        </is>
      </c>
      <c r="H21" s="12" t="n">
        <v>2</v>
      </c>
      <c r="I21" s="12" t="n"/>
      <c r="J21" s="14" t="n">
        <v>0.5</v>
      </c>
      <c r="K21" s="12" t="inlineStr">
        <is>
          <t>Highest</t>
        </is>
      </c>
      <c r="L21" s="13" t="n"/>
      <c r="M21" s="15" t="n">
        <v>46311</v>
      </c>
      <c r="N21" s="16" t="n"/>
      <c r="O21" s="12" t="inlineStr">
        <is>
          <t>To Do</t>
        </is>
      </c>
      <c r="P21" s="12" t="inlineStr">
        <is>
          <t>Ja</t>
        </is>
      </c>
      <c r="Q21" s="13" t="n"/>
    </row>
    <row r="22" ht="38.25" customHeight="1">
      <c r="A22" s="12" t="inlineStr">
        <is>
          <t>S2-01.10</t>
        </is>
      </c>
      <c r="B22" s="12" t="n">
        <v>21</v>
      </c>
      <c r="C22" s="12" t="n">
        <v>11</v>
      </c>
      <c r="D22" s="12" t="inlineStr">
        <is>
          <t>Sub-task</t>
        </is>
      </c>
      <c r="E22" s="17" t="inlineStr">
        <is>
          <t>Versiebeheer naar 1.0 + inleveren</t>
        </is>
      </c>
      <c r="F22" s="13" t="inlineStr">
        <is>
          <t>Wat: versie 1.0 in het versiebeheer zetten en inleveren.
Waarom: afronding van het plan; daarna krijgen alleen grotere updates een nieuw versienummer.</t>
        </is>
      </c>
      <c r="G22" s="12" t="inlineStr">
        <is>
          <t>Sprint 1 afronden &amp; openstaande actiepunten</t>
        </is>
      </c>
      <c r="H22" s="12" t="n">
        <v>2</v>
      </c>
      <c r="I22" s="12" t="n"/>
      <c r="J22" s="14" t="n">
        <v>0.5</v>
      </c>
      <c r="K22" s="12" t="inlineStr">
        <is>
          <t>Highest</t>
        </is>
      </c>
      <c r="L22" s="13" t="n"/>
      <c r="M22" s="15" t="n">
        <v>46311</v>
      </c>
      <c r="N22" s="16" t="n"/>
      <c r="O22" s="12" t="inlineStr">
        <is>
          <t>To Do</t>
        </is>
      </c>
      <c r="P22" s="12" t="inlineStr">
        <is>
          <t>Ja</t>
        </is>
      </c>
      <c r="Q22" s="13" t="n"/>
    </row>
    <row r="23" ht="51" customHeight="1">
      <c r="A23" s="12" t="inlineStr">
        <is>
          <t>S2-02</t>
        </is>
      </c>
      <c r="B23" s="12" t="n">
        <v>22</v>
      </c>
      <c r="C23" s="12" t="n">
        <v>1</v>
      </c>
      <c r="D23" s="12" t="inlineStr">
        <is>
          <t>Task</t>
        </is>
      </c>
      <c r="E23" s="13" t="inlineStr">
        <is>
          <t>Sprintreview &amp; retro designsprint 1 vastleggen</t>
        </is>
      </c>
      <c r="F23" s="13" t="inlineStr">
        <is>
          <t>Waarom: het resultaat van een sprint = de herformuleerde focus voor de volgende; moet zichtbaar zijn in de DR (design rationale)! (volgens de kickoff, kan het niet in de rubriek vinden :( )
Acceptatiecriteria: DR-blok sprint 1 met sprintdoel, resultaten, waarde voor het doel, retropunten + focus voor sprint 2.</t>
        </is>
      </c>
      <c r="G23" s="12" t="inlineStr">
        <is>
          <t>Sprint 1 afronden &amp; openstaande actiepunten</t>
        </is>
      </c>
      <c r="H23" s="12" t="n">
        <v>2</v>
      </c>
      <c r="I23" s="12" t="n">
        <v>2</v>
      </c>
      <c r="J23" s="14" t="n"/>
      <c r="K23" s="12" t="inlineStr">
        <is>
          <t>High</t>
        </is>
      </c>
      <c r="L23" s="13" t="inlineStr">
        <is>
          <t>proces pr2 del-designrationale</t>
        </is>
      </c>
      <c r="M23" s="15" t="n">
        <v>46301</v>
      </c>
      <c r="N23" s="16" t="n"/>
      <c r="O23" s="12" t="inlineStr">
        <is>
          <t>To Do</t>
        </is>
      </c>
      <c r="P23" s="12" t="inlineStr">
        <is>
          <t>Ja</t>
        </is>
      </c>
      <c r="Q23" s="13" t="n"/>
    </row>
    <row r="24" ht="51" customHeight="1">
      <c r="A24" s="12" t="inlineStr">
        <is>
          <t>S2-02.1</t>
        </is>
      </c>
      <c r="B24" s="12" t="n">
        <v>23</v>
      </c>
      <c r="C24" s="12" t="n">
        <v>22</v>
      </c>
      <c r="D24" s="12" t="inlineStr">
        <is>
          <t>Sub-task</t>
        </is>
      </c>
      <c r="E24" s="17" t="inlineStr">
        <is>
          <t>Retro (start/stop/continue), hele team</t>
        </is>
      </c>
      <c r="F24" s="13" t="inlineStr">
        <is>
          <t>Wat: met het hele team terugkijken op sprint 1: waar starten we mee, stoppen we mee, gaan we mee door?
Waarom: teamevaluatie hoort bij elke designsprint, en levert verbeterpunten voor DS2a.</t>
        </is>
      </c>
      <c r="G24" s="12" t="inlineStr">
        <is>
          <t>Sprint 1 afronden &amp; openstaande actiepunten</t>
        </is>
      </c>
      <c r="H24" s="12" t="n">
        <v>2</v>
      </c>
      <c r="I24" s="12" t="n"/>
      <c r="J24" s="14" t="n">
        <v>4</v>
      </c>
      <c r="K24" s="12" t="inlineStr">
        <is>
          <t>High</t>
        </is>
      </c>
      <c r="L24" s="13" t="n"/>
      <c r="M24" s="15" t="n">
        <v>46301</v>
      </c>
      <c r="N24" s="16" t="n"/>
      <c r="O24" s="12" t="inlineStr">
        <is>
          <t>To Do</t>
        </is>
      </c>
      <c r="P24" s="12" t="inlineStr">
        <is>
          <t>Ja</t>
        </is>
      </c>
      <c r="Q24" s="13" t="n"/>
    </row>
    <row r="25" ht="38.25" customHeight="1">
      <c r="A25" s="12" t="inlineStr">
        <is>
          <t>S2-02.2</t>
        </is>
      </c>
      <c r="B25" s="12" t="n">
        <v>24</v>
      </c>
      <c r="C25" s="12" t="n">
        <v>22</v>
      </c>
      <c r="D25" s="12" t="inlineStr">
        <is>
          <t>Sub-task</t>
        </is>
      </c>
      <c r="E25" s="17" t="inlineStr">
        <is>
          <t>Sprintreview-blok sprint 1 in de DR schrijven</t>
        </is>
      </c>
      <c r="F25" s="13" t="inlineStr">
        <is>
          <t>Wat: in de DR een blok voor sprint 1: sprintdoel, resultaten, waarde voor het doel, focus voor sprint 2.
Waarom: de DR bouwen we per sprint op, niet pas achteraf.</t>
        </is>
      </c>
      <c r="G25" s="12" t="inlineStr">
        <is>
          <t>Sprint 1 afronden &amp; openstaande actiepunten</t>
        </is>
      </c>
      <c r="H25" s="12" t="n">
        <v>2</v>
      </c>
      <c r="I25" s="12" t="n"/>
      <c r="J25" s="14" t="n">
        <v>1.5</v>
      </c>
      <c r="K25" s="12" t="inlineStr">
        <is>
          <t>High</t>
        </is>
      </c>
      <c r="L25" s="13" t="n"/>
      <c r="M25" s="15" t="n">
        <v>46301</v>
      </c>
      <c r="N25" s="16" t="n"/>
      <c r="O25" s="12" t="inlineStr">
        <is>
          <t>To Do</t>
        </is>
      </c>
      <c r="P25" s="12" t="inlineStr">
        <is>
          <t>Ja</t>
        </is>
      </c>
      <c r="Q25" s="13" t="n"/>
    </row>
    <row r="26" ht="25.5" customHeight="1">
      <c r="A26" s="12" t="inlineStr">
        <is>
          <t>S2-02.3</t>
        </is>
      </c>
      <c r="B26" s="12" t="n">
        <v>25</v>
      </c>
      <c r="C26" s="12" t="n">
        <v>22</v>
      </c>
      <c r="D26" s="12" t="inlineStr">
        <is>
          <t>Sub-task</t>
        </is>
      </c>
      <c r="E26" s="17" t="inlineStr">
        <is>
          <t>Retropunten omzetten naar concrete afspraken/tickets</t>
        </is>
      </c>
      <c r="F26" s="13" t="inlineStr">
        <is>
          <t>Wat: elk retropunt wordt een afspraak of een ticket.
Waarom: anders blijft het bij praten en verandert er niks.</t>
        </is>
      </c>
      <c r="G26" s="12" t="inlineStr">
        <is>
          <t>Sprint 1 afronden &amp; openstaande actiepunten</t>
        </is>
      </c>
      <c r="H26" s="12" t="n">
        <v>2</v>
      </c>
      <c r="I26" s="12" t="n"/>
      <c r="J26" s="14" t="n">
        <v>0.5</v>
      </c>
      <c r="K26" s="12" t="inlineStr">
        <is>
          <t>High</t>
        </is>
      </c>
      <c r="L26" s="13" t="n"/>
      <c r="M26" s="15" t="n">
        <v>46301</v>
      </c>
      <c r="N26" s="16" t="n"/>
      <c r="O26" s="12" t="inlineStr">
        <is>
          <t>To Do</t>
        </is>
      </c>
      <c r="P26" s="12" t="inlineStr">
        <is>
          <t>Ja</t>
        </is>
      </c>
      <c r="Q26" s="13" t="n"/>
    </row>
    <row r="27" ht="25.5" customHeight="1">
      <c r="A27" s="12" t="inlineStr">
        <is>
          <t>S2-03</t>
        </is>
      </c>
      <c r="B27" s="12" t="n">
        <v>26</v>
      </c>
      <c r="C27" s="12" t="n">
        <v>1</v>
      </c>
      <c r="D27" s="12" t="inlineStr">
        <is>
          <t>Task</t>
        </is>
      </c>
      <c r="E27" s="13" t="inlineStr">
        <is>
          <t>Openstaande actiepunten opdrachtgever (23-9) afhandelen</t>
        </is>
      </c>
      <c r="F27" s="13" t="inlineStr">
        <is>
          <t>Waarom: staan al sinds 23-9 open (oeps); input voor de concepttoets (instroomcijfers) en de bestaande toepassingen (data-games).</t>
        </is>
      </c>
      <c r="G27" s="12" t="inlineStr">
        <is>
          <t>Sprint 1 afronden &amp; openstaande actiepunten</t>
        </is>
      </c>
      <c r="H27" s="12" t="n">
        <v>2</v>
      </c>
      <c r="I27" s="12" t="n">
        <v>2</v>
      </c>
      <c r="J27" s="14" t="n"/>
      <c r="K27" s="12" t="inlineStr">
        <is>
          <t>Medium</t>
        </is>
      </c>
      <c r="L27" s="13" t="inlineStr">
        <is>
          <t>stakeholder pr3 blocked-extern deelvraag-1</t>
        </is>
      </c>
      <c r="M27" s="15" t="n">
        <v>46304</v>
      </c>
      <c r="N27" s="16" t="n"/>
      <c r="O27" s="12" t="inlineStr">
        <is>
          <t>To Do</t>
        </is>
      </c>
      <c r="P27" s="12" t="inlineStr">
        <is>
          <t>Ja</t>
        </is>
      </c>
      <c r="Q27" s="13" t="n"/>
    </row>
    <row r="28" ht="51" customHeight="1">
      <c r="A28" s="12" t="inlineStr">
        <is>
          <t>S2-03.1</t>
        </is>
      </c>
      <c r="B28" s="12" t="n">
        <v>27</v>
      </c>
      <c r="C28" s="12" t="n">
        <v>26</v>
      </c>
      <c r="D28" s="12" t="inlineStr">
        <is>
          <t>Sub-task</t>
        </is>
      </c>
      <c r="E28" s="17" t="inlineStr">
        <is>
          <t>Instroomcijfers van Arnoud checken: bruikbaar? Meer nodig?</t>
        </is>
      </c>
      <c r="F28" s="13" t="inlineStr">
        <is>
          <t>Wat: Arnoud heeft de instroomcijfers al gestuurd; checken of ze bruikbaar zijn voor de analyse (S2-43) en of we nog iets missen. Zo ja: gericht nog opvragen.
Waarom: we willen het probleem met cijfers onderbouwen, maar alleen als de data ook echt antwoord geeft op onze vragen.</t>
        </is>
      </c>
      <c r="G28" s="12" t="inlineStr">
        <is>
          <t>Sprint 1 afronden &amp; openstaande actiepunten</t>
        </is>
      </c>
      <c r="H28" s="12" t="n">
        <v>2</v>
      </c>
      <c r="I28" s="12" t="n"/>
      <c r="J28" s="14" t="n">
        <v>0.5</v>
      </c>
      <c r="K28" s="12" t="inlineStr">
        <is>
          <t>Medium</t>
        </is>
      </c>
      <c r="L28" s="13" t="n"/>
      <c r="M28" s="15" t="n">
        <v>46304</v>
      </c>
      <c r="N28" s="16" t="n"/>
      <c r="O28" s="12" t="inlineStr">
        <is>
          <t>To Do</t>
        </is>
      </c>
      <c r="P28" s="12" t="inlineStr">
        <is>
          <t>Ja</t>
        </is>
      </c>
      <c r="Q28" s="13" t="n"/>
    </row>
    <row r="29" ht="25.5" customHeight="1">
      <c r="A29" s="12" t="inlineStr">
        <is>
          <t>S2-03.2</t>
        </is>
      </c>
      <c r="B29" s="12" t="n">
        <v>28</v>
      </c>
      <c r="C29" s="12" t="n">
        <v>26</v>
      </c>
      <c r="D29" s="12" t="inlineStr">
        <is>
          <t>Sub-task</t>
        </is>
      </c>
      <c r="E29" s="17" t="inlineStr">
        <is>
          <t>Curriculum-briefing (Teams, dinsdagmiddag) inplannen met opdrachtgever</t>
        </is>
      </c>
      <c r="F29" s="13" t="inlineStr">
        <is>
          <t>Wat: een online sessie plannen (bij voorkeur dinsdagmiddag) waarin de opdrachtgever het 2e jaar Data &amp; AI uitlegt.
Waarom: input voor deelvraag 1: wat houdt Data &amp; AI eigenlijk in?</t>
        </is>
      </c>
      <c r="G29" s="12" t="inlineStr">
        <is>
          <t>Sprint 1 afronden &amp; openstaande actiepunten</t>
        </is>
      </c>
      <c r="H29" s="12" t="n">
        <v>2</v>
      </c>
      <c r="I29" s="12" t="n"/>
      <c r="J29" s="14" t="n">
        <v>0.5</v>
      </c>
      <c r="K29" s="12" t="inlineStr">
        <is>
          <t>Medium</t>
        </is>
      </c>
      <c r="L29" s="13" t="n"/>
      <c r="M29" s="15" t="n">
        <v>46304</v>
      </c>
      <c r="N29" s="16" t="n"/>
      <c r="O29" s="12" t="inlineStr">
        <is>
          <t>To Do</t>
        </is>
      </c>
      <c r="P29" s="12" t="inlineStr">
        <is>
          <t>Ja</t>
        </is>
      </c>
      <c r="Q29" s="13" t="n"/>
    </row>
    <row r="30" ht="38.25" customHeight="1">
      <c r="A30" s="12" t="inlineStr">
        <is>
          <t>S2-03.3</t>
        </is>
      </c>
      <c r="B30" s="12" t="n">
        <v>29</v>
      </c>
      <c r="C30" s="12" t="n">
        <v>26</v>
      </c>
      <c r="D30" s="12" t="inlineStr">
        <is>
          <t>Sub-task</t>
        </is>
      </c>
      <c r="E30" s="17" t="inlineStr">
        <is>
          <t>Contact Erwin Volmering (Lectoraat iWDT)</t>
        </is>
      </c>
      <c r="F30" s="13" t="inlineStr">
        <is>
          <t>Wat: contact zoeken met Erwin Volmering van het lectoraat iWDT.
Waarom: actiepunt uit het gesprek van 23-9; mogelijk expert/bron voor onze concepten.</t>
        </is>
      </c>
      <c r="G30" s="12" t="inlineStr">
        <is>
          <t>Sprint 1 afronden &amp; openstaande actiepunten</t>
        </is>
      </c>
      <c r="H30" s="12" t="n">
        <v>2</v>
      </c>
      <c r="I30" s="12" t="n"/>
      <c r="J30" s="14" t="n">
        <v>0.5</v>
      </c>
      <c r="K30" s="12" t="inlineStr">
        <is>
          <t>Medium</t>
        </is>
      </c>
      <c r="L30" s="13" t="n"/>
      <c r="M30" s="15" t="n">
        <v>46304</v>
      </c>
      <c r="N30" s="16" t="n"/>
      <c r="O30" s="12" t="inlineStr">
        <is>
          <t>To Do</t>
        </is>
      </c>
      <c r="P30" s="12" t="inlineStr">
        <is>
          <t>Ja</t>
        </is>
      </c>
      <c r="Q30" s="13" t="n"/>
    </row>
    <row r="31" ht="38.25" customHeight="1">
      <c r="A31" s="12" t="inlineStr">
        <is>
          <t>S2-03.4</t>
        </is>
      </c>
      <c r="B31" s="12" t="n">
        <v>30</v>
      </c>
      <c r="C31" s="12" t="n">
        <v>26</v>
      </c>
      <c r="D31" s="12" t="inlineStr">
        <is>
          <t>Sub-task</t>
        </is>
      </c>
      <c r="E31" s="17" t="inlineStr">
        <is>
          <t>Bestaande data-games (Aliander, CMD) opvragen</t>
        </is>
      </c>
      <c r="F31" s="13" t="inlineStr">
        <is>
          <t>Wat: vragen naar de bestaande data-games die met Aliander en CMD gemaakt zijn.
Waarom: input voor de analyse van bestaande toepassingen (S2-04).</t>
        </is>
      </c>
      <c r="G31" s="12" t="inlineStr">
        <is>
          <t>Sprint 1 afronden &amp; openstaande actiepunten</t>
        </is>
      </c>
      <c r="H31" s="12" t="n">
        <v>2</v>
      </c>
      <c r="I31" s="12" t="n"/>
      <c r="J31" s="14" t="n">
        <v>0.5</v>
      </c>
      <c r="K31" s="12" t="inlineStr">
        <is>
          <t>Medium</t>
        </is>
      </c>
      <c r="L31" s="13" t="n"/>
      <c r="M31" s="15" t="n">
        <v>46304</v>
      </c>
      <c r="N31" s="16" t="n"/>
      <c r="O31" s="12" t="inlineStr">
        <is>
          <t>To Do</t>
        </is>
      </c>
      <c r="P31" s="12" t="inlineStr">
        <is>
          <t>Ja</t>
        </is>
      </c>
      <c r="Q31" s="13" t="n"/>
    </row>
    <row r="32" ht="25.5" customHeight="1">
      <c r="A32" s="12" t="inlineStr">
        <is>
          <t>S2-03.5</t>
        </is>
      </c>
      <c r="B32" s="12" t="n">
        <v>31</v>
      </c>
      <c r="C32" s="12" t="n">
        <v>26</v>
      </c>
      <c r="D32" s="12" t="inlineStr">
        <is>
          <t>Sub-task</t>
        </is>
      </c>
      <c r="E32" s="17" t="inlineStr">
        <is>
          <t>Curriculum-briefing bijwonen + notulen</t>
        </is>
      </c>
      <c r="F32" s="13" t="inlineStr">
        <is>
          <t>Wat: de curriculum-briefing bijwonen en notuleren.
Waarom: geeft antwoord op deelvraag 1 en is meteen een bron.</t>
        </is>
      </c>
      <c r="G32" s="12" t="inlineStr">
        <is>
          <t>Sprint 1 afronden &amp; openstaande actiepunten</t>
        </is>
      </c>
      <c r="H32" s="12" t="n">
        <v>2</v>
      </c>
      <c r="I32" s="12" t="n"/>
      <c r="J32" s="14" t="n">
        <v>4</v>
      </c>
      <c r="K32" s="12" t="inlineStr">
        <is>
          <t>Medium</t>
        </is>
      </c>
      <c r="L32" s="13" t="n"/>
      <c r="M32" s="15" t="n">
        <v>46304</v>
      </c>
      <c r="N32" s="16" t="n"/>
      <c r="O32" s="12" t="inlineStr">
        <is>
          <t>To Do</t>
        </is>
      </c>
      <c r="P32" s="12" t="inlineStr">
        <is>
          <t>Ja</t>
        </is>
      </c>
      <c r="Q32" s="13" t="n"/>
    </row>
    <row r="33" ht="63.75" customHeight="1">
      <c r="A33" s="12" t="inlineStr">
        <is>
          <t>S2-04</t>
        </is>
      </c>
      <c r="B33" s="12" t="n">
        <v>32</v>
      </c>
      <c r="C33" s="12" t="n">
        <v>1</v>
      </c>
      <c r="D33" s="12" t="inlineStr">
        <is>
          <t>Task</t>
        </is>
      </c>
      <c r="E33" s="13" t="inlineStr">
        <is>
          <t>Analyse bestaande toepassingen</t>
        </is>
      </c>
      <c r="F33" s="13" t="inlineStr">
        <is>
          <t>Waarom: de rubric wil dat het plan start vanuit een analyse van een bestaande toepassing, en die missen we nog! Input voor alle drie de concepten (wat werkt wel/niet bij werving?).
Acceptatiecriteria: per toepassing: wat is het, wat werkt/werkt niet, welke vraag levert het ons op; staat in het onderzoeksplan.</t>
        </is>
      </c>
      <c r="G33" s="12" t="inlineStr">
        <is>
          <t>Sprint 1 afronden &amp; openstaande actiepunten</t>
        </is>
      </c>
      <c r="H33" s="12" t="n">
        <v>2</v>
      </c>
      <c r="I33" s="12" t="n">
        <v>5</v>
      </c>
      <c r="J33" s="14" t="n"/>
      <c r="K33" s="12" t="inlineStr">
        <is>
          <t>High</t>
        </is>
      </c>
      <c r="L33" s="13" t="inlineStr">
        <is>
          <t>onderzoek deelvraag-4 op1 et1-kennis concept-algemeen</t>
        </is>
      </c>
      <c r="M33" s="15" t="n">
        <v>46309</v>
      </c>
      <c r="N33" s="16" t="n"/>
      <c r="O33" s="12" t="inlineStr">
        <is>
          <t>To Do</t>
        </is>
      </c>
      <c r="P33" s="12" t="inlineStr">
        <is>
          <t>Ja</t>
        </is>
      </c>
      <c r="Q33" s="13" t="n"/>
    </row>
    <row r="34" ht="25.5" customHeight="1">
      <c r="A34" s="12" t="inlineStr">
        <is>
          <t>S2-04.1</t>
        </is>
      </c>
      <c r="B34" s="12" t="n">
        <v>33</v>
      </c>
      <c r="C34" s="12" t="n">
        <v>32</v>
      </c>
      <c r="D34" s="12" t="inlineStr">
        <is>
          <t>Sub-task</t>
        </is>
      </c>
      <c r="E34" s="17" t="inlineStr">
        <is>
          <t>'Hack je gek' (Infra) bekijken/navragen: opzet, waarom werkte het wel voor de instroom?</t>
        </is>
      </c>
      <c r="F34" s="13" t="inlineStr">
        <is>
          <t>Wat: uitzoeken hoe 'Hack je gek' van Infra werkt en waarom het daar wél meer instroom gaf.
Waarom: een succesvol bestaand voorbeeld; wat kunnen we ervan leren?</t>
        </is>
      </c>
      <c r="G34" s="12" t="inlineStr">
        <is>
          <t>Sprint 1 afronden &amp; openstaande actiepunten</t>
        </is>
      </c>
      <c r="H34" s="12" t="n">
        <v>2</v>
      </c>
      <c r="I34" s="12" t="n"/>
      <c r="J34" s="14" t="n">
        <v>3</v>
      </c>
      <c r="K34" s="12" t="inlineStr">
        <is>
          <t>High</t>
        </is>
      </c>
      <c r="L34" s="13" t="n"/>
      <c r="M34" s="15" t="n">
        <v>46309</v>
      </c>
      <c r="N34" s="16" t="n"/>
      <c r="O34" s="12" t="inlineStr">
        <is>
          <t>To Do</t>
        </is>
      </c>
      <c r="P34" s="12" t="inlineStr">
        <is>
          <t>Ja</t>
        </is>
      </c>
      <c r="Q34" s="13" t="n"/>
    </row>
    <row r="35" ht="25.5" customHeight="1">
      <c r="A35" s="12" t="inlineStr">
        <is>
          <t>S2-04.2</t>
        </is>
      </c>
      <c r="B35" s="12" t="n">
        <v>34</v>
      </c>
      <c r="C35" s="12" t="n">
        <v>32</v>
      </c>
      <c r="D35" s="12" t="inlineStr">
        <is>
          <t>Sub-task</t>
        </is>
      </c>
      <c r="E35" s="17" t="inlineStr">
        <is>
          <t>Huidige Data &amp; AI-workshop analyseren ("waardeloos" volgens opdrachtgever: maar waarom precies?)</t>
        </is>
      </c>
      <c r="F35" s="13" t="inlineStr">
        <is>
          <t>Wat: de huidige Data &amp; AI-workshop bekijken en uitzoeken WAAROM die niet werkt.
Waarom: zo maken wij niet dezelfde fouten.</t>
        </is>
      </c>
      <c r="G35" s="12" t="inlineStr">
        <is>
          <t>Sprint 1 afronden &amp; openstaande actiepunten</t>
        </is>
      </c>
      <c r="H35" s="12" t="n">
        <v>2</v>
      </c>
      <c r="I35" s="12" t="n"/>
      <c r="J35" s="14" t="n">
        <v>2</v>
      </c>
      <c r="K35" s="12" t="inlineStr">
        <is>
          <t>High</t>
        </is>
      </c>
      <c r="L35" s="13" t="n"/>
      <c r="M35" s="15" t="n">
        <v>46309</v>
      </c>
      <c r="N35" s="16" t="n"/>
      <c r="O35" s="12" t="inlineStr">
        <is>
          <t>To Do</t>
        </is>
      </c>
      <c r="P35" s="12" t="inlineStr">
        <is>
          <t>Ja</t>
        </is>
      </c>
      <c r="Q35" s="13" t="n"/>
    </row>
    <row r="36" ht="25.5" customHeight="1">
      <c r="A36" s="12" t="inlineStr">
        <is>
          <t>S2-04.3</t>
        </is>
      </c>
      <c r="B36" s="12" t="n">
        <v>35</v>
      </c>
      <c r="C36" s="12" t="n">
        <v>32</v>
      </c>
      <c r="D36" s="12" t="inlineStr">
        <is>
          <t>Sub-task</t>
        </is>
      </c>
      <c r="E36" s="17" t="inlineStr">
        <is>
          <t>Data-games Aliander/CMD + 1–2 externe voorbeelden (deskresearch) (als ie er zijn !!)</t>
        </is>
      </c>
      <c r="F36" s="13" t="inlineStr">
        <is>
          <t>Wat: de data-games van Aliander/CMD bekijken + 1–2 voorbeelden van buiten de HAN zoeken.
Waarom: breder beeld van wat er al bestaat.</t>
        </is>
      </c>
      <c r="G36" s="12" t="inlineStr">
        <is>
          <t>Sprint 1 afronden &amp; openstaande actiepunten</t>
        </is>
      </c>
      <c r="H36" s="12" t="n">
        <v>2</v>
      </c>
      <c r="I36" s="12" t="n"/>
      <c r="J36" s="14" t="n">
        <v>3</v>
      </c>
      <c r="K36" s="12" t="inlineStr">
        <is>
          <t>High</t>
        </is>
      </c>
      <c r="L36" s="13" t="n"/>
      <c r="M36" s="15" t="n">
        <v>46309</v>
      </c>
      <c r="N36" s="16" t="n"/>
      <c r="O36" s="12" t="inlineStr">
        <is>
          <t>To Do</t>
        </is>
      </c>
      <c r="P36" s="12" t="inlineStr">
        <is>
          <t>Ja</t>
        </is>
      </c>
      <c r="Q36" s="13" t="n"/>
    </row>
    <row r="37" ht="51" customHeight="1">
      <c r="A37" s="12" t="inlineStr">
        <is>
          <t>S2-04.4</t>
        </is>
      </c>
      <c r="B37" s="12" t="n">
        <v>36</v>
      </c>
      <c r="C37" s="12" t="n">
        <v>32</v>
      </c>
      <c r="D37" s="12" t="inlineStr">
        <is>
          <t>Sub-task</t>
        </is>
      </c>
      <c r="E37" s="17" t="inlineStr">
        <is>
          <t>Analyse uitschrijven in het onderzoeksplan + sources</t>
        </is>
      </c>
      <c r="F37" s="13" t="inlineStr">
        <is>
          <t>Wat: de analyse als paragraaf in het onderzoeksplan zetten, met bronnen.
Waarom: de rubric wil dat het plan start vanuit een analyse van bestaande toepassingen.</t>
        </is>
      </c>
      <c r="G37" s="12" t="inlineStr">
        <is>
          <t>Sprint 1 afronden &amp; openstaande actiepunten</t>
        </is>
      </c>
      <c r="H37" s="12" t="n">
        <v>2</v>
      </c>
      <c r="I37" s="12" t="n"/>
      <c r="J37" s="14" t="n">
        <v>2</v>
      </c>
      <c r="K37" s="12" t="inlineStr">
        <is>
          <t>High</t>
        </is>
      </c>
      <c r="L37" s="13" t="n"/>
      <c r="M37" s="15" t="n">
        <v>46309</v>
      </c>
      <c r="N37" s="16" t="n"/>
      <c r="O37" s="12" t="inlineStr">
        <is>
          <t>To Do</t>
        </is>
      </c>
      <c r="P37" s="12" t="inlineStr">
        <is>
          <t>Ja</t>
        </is>
      </c>
      <c r="Q37" s="13" t="n"/>
    </row>
    <row r="38" ht="25.5" customHeight="1">
      <c r="A38" s="12" t="inlineStr">
        <is>
          <t>S2-05</t>
        </is>
      </c>
      <c r="B38" s="12" t="n">
        <v>37</v>
      </c>
      <c r="C38" s="12" t="n">
        <v>2</v>
      </c>
      <c r="D38" s="12" t="inlineStr">
        <is>
          <t>Task</t>
        </is>
      </c>
      <c r="E38" s="13" t="inlineStr">
        <is>
          <t>Jira omgeving…uhm..klaar maken? Ik weet niet veel, maar ik zet het er voor de zekerheid bij</t>
        </is>
      </c>
      <c r="F38" s="13" t="inlineStr">
        <is>
          <t>Waarom: het board zelf zijn we nu al aan het inrichten; wat nog wel moet is vastleggen wanneer een ticket Ready/Done is, zodat iedereen hetzelfde bedoelt met "klaar" (PR2). De toolkeuze in het beslissingenlog zetten is S2-06.</t>
        </is>
      </c>
      <c r="G38" s="12" t="inlineStr">
        <is>
          <t>Proces &amp; Jira</t>
        </is>
      </c>
      <c r="H38" s="12" t="n">
        <v>2</v>
      </c>
      <c r="I38" s="12" t="n">
        <v>1</v>
      </c>
      <c r="J38" s="14" t="n"/>
      <c r="K38" s="12" t="inlineStr">
        <is>
          <t>Highest</t>
        </is>
      </c>
      <c r="L38" s="13" t="inlineStr">
        <is>
          <t>proces pr2</t>
        </is>
      </c>
      <c r="M38" s="15" t="n">
        <v>46301</v>
      </c>
      <c r="N38" s="16" t="n"/>
      <c r="O38" s="12" t="inlineStr">
        <is>
          <t>To Do</t>
        </is>
      </c>
      <c r="P38" s="12" t="inlineStr">
        <is>
          <t>Ja</t>
        </is>
      </c>
      <c r="Q38" s="13" t="n"/>
    </row>
    <row r="39" ht="38.25" customHeight="1">
      <c r="A39" s="12" t="inlineStr">
        <is>
          <t>S2-05.3</t>
        </is>
      </c>
      <c r="B39" s="12" t="n">
        <v>40</v>
      </c>
      <c r="C39" s="12" t="n">
        <v>37</v>
      </c>
      <c r="D39" s="12" t="inlineStr">
        <is>
          <t>Sub-task</t>
        </is>
      </c>
      <c r="E39" s="17" t="inlineStr">
        <is>
          <t>DoR/DoD en werkafspraken in projectbeschrijving</t>
        </is>
      </c>
      <c r="F39" s="13" t="inlineStr">
        <is>
          <t>Wat: de DoR, DoD en werkafspraken in de projectbeschrijving in Jira zetten.
Waarom: zo weet iedereen wanneer iets "klaar" is.</t>
        </is>
      </c>
      <c r="G39" s="12" t="inlineStr">
        <is>
          <t>Proces &amp; Jira</t>
        </is>
      </c>
      <c r="H39" s="12" t="n">
        <v>2</v>
      </c>
      <c r="I39" s="12" t="n"/>
      <c r="J39" s="14" t="n">
        <v>0.5</v>
      </c>
      <c r="K39" s="12" t="inlineStr">
        <is>
          <t>Highest</t>
        </is>
      </c>
      <c r="L39" s="13" t="n"/>
      <c r="M39" s="15" t="n">
        <v>46301</v>
      </c>
      <c r="N39" s="16" t="n"/>
      <c r="O39" s="12" t="inlineStr">
        <is>
          <t>To Do</t>
        </is>
      </c>
      <c r="P39" s="12" t="inlineStr">
        <is>
          <t>Ja</t>
        </is>
      </c>
      <c r="Q39" s="13" t="n"/>
    </row>
    <row r="40" ht="25.5" customHeight="1">
      <c r="A40" s="12" t="inlineStr">
        <is>
          <t>S2-06</t>
        </is>
      </c>
      <c r="B40" s="12" t="n">
        <v>42</v>
      </c>
      <c r="C40" s="12" t="n">
        <v>2</v>
      </c>
      <c r="D40" s="12" t="inlineStr">
        <is>
          <t>Task</t>
        </is>
      </c>
      <c r="E40" s="13" t="inlineStr">
        <is>
          <t>Toolkeuze Jira vastleggen in het beslissingenlog</t>
        </is>
      </c>
      <c r="F40" s="13" t="inlineStr">
        <is>
          <t>Waarom: de onderbouwing staat al in Tools-Vergelijking-DTI.md (sectie "Beslissing": Jira + Confluence, 63/90, iedereen heeft er ervaring mee); moet alleen nog als beslissing in het beslissingenlog, met datum + wie besloten heeft.</t>
        </is>
      </c>
      <c r="G40" s="12" t="inlineStr">
        <is>
          <t>Proces &amp; Jira</t>
        </is>
      </c>
      <c r="H40" s="12" t="n">
        <v>2</v>
      </c>
      <c r="I40" s="12" t="n">
        <v>1</v>
      </c>
      <c r="J40" s="14" t="n"/>
      <c r="K40" s="12" t="inlineStr">
        <is>
          <t>Medium</t>
        </is>
      </c>
      <c r="L40" s="13" t="inlineStr">
        <is>
          <t>proces documentatie pr2</t>
        </is>
      </c>
      <c r="M40" s="15" t="n">
        <v>46304</v>
      </c>
      <c r="N40" s="16" t="n"/>
      <c r="O40" s="12" t="inlineStr">
        <is>
          <t>To Do</t>
        </is>
      </c>
      <c r="P40" s="12" t="inlineStr">
        <is>
          <t>Ja</t>
        </is>
      </c>
      <c r="Q40" s="13" t="n"/>
    </row>
    <row r="41" ht="38.25" customHeight="1">
      <c r="A41" s="12" t="inlineStr">
        <is>
          <t>S2-06.1</t>
        </is>
      </c>
      <c r="B41" s="12" t="n">
        <v>43</v>
      </c>
      <c r="C41" s="12" t="n">
        <v>42</v>
      </c>
      <c r="D41" s="12" t="inlineStr">
        <is>
          <t>Sub-task</t>
        </is>
      </c>
      <c r="E41" s="17" t="inlineStr">
        <is>
          <t>Beslissing uit de tools-vergelijking overnemen in het beslissingenlog (+ datum/namen invullen)</t>
        </is>
      </c>
      <c r="F41" s="13" t="inlineStr">
        <is>
          <t>Wat: de beslissing uit de tools-vergelijking (Jira + Confluence) in het beslissingenlog zetten, met datum en wie besloten heeft.
Waarom: beslissingen tellen alleen als ze vastgelegd zijn, met alternatieven + waarom.</t>
        </is>
      </c>
      <c r="G41" s="12" t="inlineStr">
        <is>
          <t>Proces &amp; Jira</t>
        </is>
      </c>
      <c r="H41" s="12" t="n">
        <v>2</v>
      </c>
      <c r="I41" s="12" t="n"/>
      <c r="J41" s="14" t="n">
        <v>0.5</v>
      </c>
      <c r="K41" s="12" t="inlineStr">
        <is>
          <t>Medium</t>
        </is>
      </c>
      <c r="L41" s="13" t="n"/>
      <c r="M41" s="15" t="n">
        <v>46304</v>
      </c>
      <c r="N41" s="16" t="n"/>
      <c r="O41" s="12" t="inlineStr">
        <is>
          <t>To Do</t>
        </is>
      </c>
      <c r="P41" s="12" t="inlineStr">
        <is>
          <t>Ja</t>
        </is>
      </c>
      <c r="Q41" s="13" t="n"/>
    </row>
    <row r="42" ht="51" customHeight="1">
      <c r="A42" s="12" t="inlineStr">
        <is>
          <t>S2-07</t>
        </is>
      </c>
      <c r="B42" s="12" t="n">
        <v>44</v>
      </c>
      <c r="C42" s="12" t="n">
        <v>2</v>
      </c>
      <c r="D42" s="12" t="inlineStr">
        <is>
          <t>Task</t>
        </is>
      </c>
      <c r="E42" s="13" t="inlineStr">
        <is>
          <t>Scrum-ceremonies DS2a</t>
        </is>
      </c>
      <c r="F42" s="13" t="inlineStr">
        <is>
          <t>Waarom: stand-ups, planning en reviews tellen alleen als ze ZICHTBAAR zijn.</t>
        </is>
      </c>
      <c r="G42" s="12" t="inlineStr">
        <is>
          <t>Proces &amp; Jira</t>
        </is>
      </c>
      <c r="H42" s="12" t="n">
        <v>2</v>
      </c>
      <c r="I42" s="12" t="n">
        <v>2</v>
      </c>
      <c r="J42" s="14" t="n"/>
      <c r="K42" s="12" t="inlineStr">
        <is>
          <t>High</t>
        </is>
      </c>
      <c r="L42" s="13" t="inlineStr">
        <is>
          <t>proces pr2</t>
        </is>
      </c>
      <c r="M42" s="15" t="n">
        <v>46311</v>
      </c>
      <c r="N42" s="16" t="n"/>
      <c r="O42" s="12" t="inlineStr">
        <is>
          <t>To Do</t>
        </is>
      </c>
      <c r="P42" s="12" t="inlineStr">
        <is>
          <t>Ja</t>
        </is>
      </c>
      <c r="Q42" s="13" t="n"/>
    </row>
    <row r="43" ht="51" customHeight="1">
      <c r="A43" s="12" t="inlineStr">
        <is>
          <t>S2-07.1</t>
        </is>
      </c>
      <c r="B43" s="12" t="n">
        <v>45</v>
      </c>
      <c r="C43" s="12" t="n">
        <v>44</v>
      </c>
      <c r="D43" s="12" t="inlineStr">
        <is>
          <t>Sub-task</t>
        </is>
      </c>
      <c r="E43" s="17" t="inlineStr">
        <is>
          <t>Sprintplanning DS2a (incl. planning poker)</t>
        </is>
      </c>
      <c r="F43" s="13" t="inlineStr">
        <is>
          <t>Wat: samen de tickets voor DS2a kiezen, schatten (planning poker) en verdelen.
Waarom: taken plannen vanuit een gezamenlijk doel (PR2).</t>
        </is>
      </c>
      <c r="G43" s="12" t="inlineStr">
        <is>
          <t>Proces &amp; Jira</t>
        </is>
      </c>
      <c r="H43" s="12" t="n">
        <v>2</v>
      </c>
      <c r="I43" s="12" t="n"/>
      <c r="J43" s="14" t="n">
        <v>6</v>
      </c>
      <c r="K43" s="12" t="inlineStr">
        <is>
          <t>High</t>
        </is>
      </c>
      <c r="L43" s="13" t="n"/>
      <c r="M43" s="15" t="n">
        <v>46311</v>
      </c>
      <c r="N43" s="16" t="n"/>
      <c r="O43" s="12" t="inlineStr">
        <is>
          <t>To Do</t>
        </is>
      </c>
      <c r="P43" s="12" t="inlineStr">
        <is>
          <t>Ja</t>
        </is>
      </c>
      <c r="Q43" s="13" t="n"/>
    </row>
    <row r="44" ht="25.5" customHeight="1">
      <c r="A44" s="12" t="inlineStr">
        <is>
          <t>S2-07.2</t>
        </is>
      </c>
      <c r="B44" s="12" t="n">
        <v>46</v>
      </c>
      <c r="C44" s="12" t="n">
        <v>44</v>
      </c>
      <c r="D44" s="12" t="inlineStr">
        <is>
          <t>Sub-task</t>
        </is>
      </c>
      <c r="E44" s="17" t="inlineStr">
        <is>
          <t>Stand-ups wk 41–42 (4× 10 min × 4 p.)</t>
        </is>
      </c>
      <c r="F44" s="13" t="inlineStr">
        <is>
          <t>Wat: di + do 10 min bij het board: wat deed ik, wat ga ik doen, waar loop ik vast?
Waarom: problemen vroeg zien, en het laat zien dat we agile werken.</t>
        </is>
      </c>
      <c r="G44" s="12" t="inlineStr">
        <is>
          <t>Proces &amp; Jira</t>
        </is>
      </c>
      <c r="H44" s="12" t="n">
        <v>2</v>
      </c>
      <c r="I44" s="12" t="n"/>
      <c r="J44" s="14" t="n">
        <v>3</v>
      </c>
      <c r="K44" s="12" t="inlineStr">
        <is>
          <t>High</t>
        </is>
      </c>
      <c r="L44" s="13" t="n"/>
      <c r="M44" s="15" t="n">
        <v>46311</v>
      </c>
      <c r="N44" s="16" t="n"/>
      <c r="O44" s="12" t="inlineStr">
        <is>
          <t>To Do</t>
        </is>
      </c>
      <c r="P44" s="12" t="inlineStr">
        <is>
          <t>Ja</t>
        </is>
      </c>
      <c r="Q44" s="13" t="n"/>
    </row>
    <row r="45" ht="25.5" customHeight="1">
      <c r="A45" s="12" t="inlineStr">
        <is>
          <t>S2-07.3</t>
        </is>
      </c>
      <c r="B45" s="12" t="n">
        <v>47</v>
      </c>
      <c r="C45" s="12" t="n">
        <v>44</v>
      </c>
      <c r="D45" s="12" t="inlineStr">
        <is>
          <t>Sub-task</t>
        </is>
      </c>
      <c r="E45" s="17" t="inlineStr">
        <is>
          <t>Sprintreview + retro DS2a (vr 16 okt) (optioneel als we de tweede helft van een lange sprint ook willen retro-en)</t>
        </is>
      </c>
      <c r="F45" s="13" t="inlineStr">
        <is>
          <t>Wat: op 16 okt terugkijken: wat is af, wat is de waarde voor het doel, wat ging goed/fout?
Waarom: afsluiting van DS2a en input voor de planning van DS2b.</t>
        </is>
      </c>
      <c r="G45" s="12" t="inlineStr">
        <is>
          <t>Proces &amp; Jira</t>
        </is>
      </c>
      <c r="H45" s="12" t="n">
        <v>2</v>
      </c>
      <c r="I45" s="12" t="n"/>
      <c r="J45" s="14" t="n">
        <v>4</v>
      </c>
      <c r="K45" s="12" t="inlineStr">
        <is>
          <t>High</t>
        </is>
      </c>
      <c r="L45" s="13" t="n"/>
      <c r="M45" s="15" t="n">
        <v>46311</v>
      </c>
      <c r="N45" s="16" t="n"/>
      <c r="O45" s="12" t="inlineStr">
        <is>
          <t>To Do</t>
        </is>
      </c>
      <c r="P45" s="12" t="inlineStr">
        <is>
          <t>Ja</t>
        </is>
      </c>
      <c r="Q45" s="13" t="n"/>
    </row>
    <row r="46" ht="38.25" customHeight="1">
      <c r="A46" s="12" t="inlineStr">
        <is>
          <t>S2-07.4</t>
        </is>
      </c>
      <c r="B46" s="12" t="n">
        <v>48</v>
      </c>
      <c r="C46" s="12" t="n">
        <v>44</v>
      </c>
      <c r="D46" s="12" t="inlineStr">
        <is>
          <t>Sub-task</t>
        </is>
      </c>
      <c r="E46" s="17" t="inlineStr">
        <is>
          <t>Burndown/sprint report DS2a screenshotten → DR</t>
        </is>
      </c>
      <c r="F46" s="13" t="inlineStr">
        <is>
          <t>Wat: screenshot van de burndown + het sprint report van DS2a in de DR zetten.
Waarom: bewijs van de agile werkwijze (PR2).</t>
        </is>
      </c>
      <c r="G46" s="12" t="inlineStr">
        <is>
          <t>Proces &amp; Jira</t>
        </is>
      </c>
      <c r="H46" s="12" t="n">
        <v>2</v>
      </c>
      <c r="I46" s="12" t="n"/>
      <c r="J46" s="14" t="n">
        <v>0.5</v>
      </c>
      <c r="K46" s="12" t="inlineStr">
        <is>
          <t>High</t>
        </is>
      </c>
      <c r="L46" s="13" t="n"/>
      <c r="M46" s="15" t="n">
        <v>46311</v>
      </c>
      <c r="N46" s="16" t="n"/>
      <c r="O46" s="12" t="inlineStr">
        <is>
          <t>To Do</t>
        </is>
      </c>
      <c r="P46" s="12" t="inlineStr">
        <is>
          <t>Ja</t>
        </is>
      </c>
      <c r="Q46" s="13" t="n"/>
    </row>
    <row r="47" ht="38.25" customHeight="1">
      <c r="A47" s="12" t="inlineStr">
        <is>
          <t>S2-44</t>
        </is>
      </c>
      <c r="B47" s="12" t="n">
        <v>49</v>
      </c>
      <c r="C47" s="12" t="n">
        <v>3</v>
      </c>
      <c r="D47" s="12" t="inlineStr">
        <is>
          <t>Task</t>
        </is>
      </c>
      <c r="E47" s="13" t="inlineStr">
        <is>
          <t>Doelgroep bereiken: testpersonen en toetsmomenten regelen</t>
        </is>
      </c>
      <c r="F47" s="13" t="inlineStr">
        <is>
          <t>Waarom: zonder doelgroep kunnen we niks toetsen = grootste risico van de eerste twee weken! Daarom een eigen ticket, zodat je op het board ziet of het geregeld is. Nodig voor de concepttoets (S2-10), de co-creatiesessie (S2-46) en de prototypetest (S2-28).
Acceptatiecriteria: overzicht wie / wanneer / waar / hoeveel personen; minimaal één afspraak met eerstejaars en één met scholieren vóór 15 okt.</t>
        </is>
      </c>
      <c r="G47" s="12" t="inlineStr">
        <is>
          <t>Doelgroeponderzoek &amp; concepttoets</t>
        </is>
      </c>
      <c r="H47" s="12" t="n">
        <v>2</v>
      </c>
      <c r="I47" s="12" t="n">
        <v>3</v>
      </c>
      <c r="J47" s="14" t="n"/>
      <c r="K47" s="12" t="inlineStr">
        <is>
          <t>Highest</t>
        </is>
      </c>
      <c r="L47" s="13" t="inlineStr">
        <is>
          <t>onderzoek stakeholder mbo havo-vwo propedeuse blocked-extern pr3</t>
        </is>
      </c>
      <c r="M47" s="15" t="n">
        <v>46304</v>
      </c>
      <c r="N47" s="16" t="n"/>
      <c r="O47" s="12" t="inlineStr">
        <is>
          <t>To Do</t>
        </is>
      </c>
      <c r="P47" s="12" t="inlineStr">
        <is>
          <t>Ja</t>
        </is>
      </c>
      <c r="Q47" s="13" t="n"/>
    </row>
    <row r="48" ht="38.25" customHeight="1">
      <c r="A48" s="12" t="inlineStr">
        <is>
          <t>S2-44.1</t>
        </is>
      </c>
      <c r="B48" s="12" t="n">
        <v>50</v>
      </c>
      <c r="C48" s="12" t="n">
        <v>49</v>
      </c>
      <c r="D48" s="12" t="inlineStr">
        <is>
          <t>Sub-task</t>
        </is>
      </c>
      <c r="E48" s="17" t="inlineStr">
        <is>
          <t>Excel schoolvoorlichtingen (Teams) doorlopen en aanhaken waar het kan</t>
        </is>
      </c>
      <c r="F48" s="13" t="inlineStr">
        <is>
          <t>Wat: in de Excel met schoolvoorlichtingen (Teams) kijken waar we kunnen aanhaken.
Waarom: echte scholieren in een echte setting.</t>
        </is>
      </c>
      <c r="G48" s="12" t="inlineStr">
        <is>
          <t>Doelgroeponderzoek &amp; concepttoets</t>
        </is>
      </c>
      <c r="H48" s="12" t="n">
        <v>2</v>
      </c>
      <c r="I48" s="12" t="n"/>
      <c r="J48" s="14" t="n">
        <v>1</v>
      </c>
      <c r="K48" s="12" t="inlineStr">
        <is>
          <t>Highest</t>
        </is>
      </c>
      <c r="L48" s="13" t="n"/>
      <c r="M48" s="15" t="n">
        <v>46304</v>
      </c>
      <c r="N48" s="16" t="n"/>
      <c r="O48" s="12" t="inlineStr">
        <is>
          <t>To Do</t>
        </is>
      </c>
      <c r="P48" s="12" t="inlineStr">
        <is>
          <t>Ja</t>
        </is>
      </c>
      <c r="Q48" s="13" t="n"/>
    </row>
    <row r="49" ht="38.25" customHeight="1">
      <c r="A49" s="12" t="inlineStr">
        <is>
          <t>S2-44.2</t>
        </is>
      </c>
      <c r="B49" s="12" t="n">
        <v>51</v>
      </c>
      <c r="C49" s="12" t="n">
        <v>49</v>
      </c>
      <c r="D49" s="12" t="inlineStr">
        <is>
          <t>Sub-task</t>
        </is>
      </c>
      <c r="E49" s="17" t="inlineStr">
        <is>
          <t>Eerstejaarsgroep(en) regelen via de opdrachtgever</t>
        </is>
      </c>
      <c r="F49" s="13" t="inlineStr">
        <is>
          <t>Wat: via de opdrachtgever een of meer eerstejaarsgroepen regelen.
Waarom: eerstejaars zijn makkelijk bereikbaar en ook doelgroep (keuzemoment).</t>
        </is>
      </c>
      <c r="G49" s="12" t="inlineStr">
        <is>
          <t>Doelgroeponderzoek &amp; concepttoets</t>
        </is>
      </c>
      <c r="H49" s="12" t="n">
        <v>2</v>
      </c>
      <c r="I49" s="12" t="n"/>
      <c r="J49" s="14" t="n">
        <v>1</v>
      </c>
      <c r="K49" s="12" t="inlineStr">
        <is>
          <t>Highest</t>
        </is>
      </c>
      <c r="L49" s="13" t="n"/>
      <c r="M49" s="15" t="n">
        <v>46304</v>
      </c>
      <c r="N49" s="16" t="n"/>
      <c r="O49" s="12" t="inlineStr">
        <is>
          <t>To Do</t>
        </is>
      </c>
      <c r="P49" s="12" t="inlineStr">
        <is>
          <t>Ja</t>
        </is>
      </c>
      <c r="Q49" s="13" t="n"/>
    </row>
    <row r="50" ht="89.25" customHeight="1">
      <c r="A50" s="12" t="inlineStr">
        <is>
          <t>S2-44.3</t>
        </is>
      </c>
      <c r="B50" s="12" t="n">
        <v>52</v>
      </c>
      <c r="C50" s="12" t="n">
        <v>49</v>
      </c>
      <c r="D50" s="12" t="inlineStr">
        <is>
          <t>Sub-task</t>
        </is>
      </c>
      <c r="E50" s="17" t="inlineStr">
        <is>
          <t>Eigen netwerk benaderen (oude school, MBO-contacten, broertjes/zusjes)</t>
        </is>
      </c>
      <c r="F50" s="13" t="inlineStr">
        <is>
          <t>Wat: mensen uit ons eigen netwerk benaderen (oude school, MBO-contacten, broertjes/zusjes).
Waarom: back-up als de schoolvoorlichtingen niet lukken.</t>
        </is>
      </c>
      <c r="G50" s="12" t="inlineStr">
        <is>
          <t>Doelgroeponderzoek &amp; concepttoets</t>
        </is>
      </c>
      <c r="H50" s="12" t="n">
        <v>2</v>
      </c>
      <c r="I50" s="12" t="n"/>
      <c r="J50" s="14" t="n">
        <v>1</v>
      </c>
      <c r="K50" s="12" t="inlineStr">
        <is>
          <t>Highest</t>
        </is>
      </c>
      <c r="L50" s="13" t="n"/>
      <c r="M50" s="15" t="n">
        <v>46304</v>
      </c>
      <c r="N50" s="16" t="n"/>
      <c r="O50" s="12" t="inlineStr">
        <is>
          <t>To Do</t>
        </is>
      </c>
      <c r="P50" s="12" t="inlineStr">
        <is>
          <t>Ja</t>
        </is>
      </c>
      <c r="Q50" s="13" t="n"/>
    </row>
    <row r="51" ht="25.5" customHeight="1">
      <c r="A51" s="12" t="inlineStr">
        <is>
          <t>S2-44.4</t>
        </is>
      </c>
      <c r="B51" s="12" t="n">
        <v>53</v>
      </c>
      <c r="C51" s="12" t="n">
        <v>49</v>
      </c>
      <c r="D51" s="12" t="inlineStr">
        <is>
          <t>Sub-task</t>
        </is>
      </c>
      <c r="E51" s="17" t="inlineStr">
        <is>
          <t>Overzicht testpersonen + momenten bijhouden (zonder persoonsgegevens)</t>
        </is>
      </c>
      <c r="F51" s="13" t="inlineStr">
        <is>
          <t>Wat: bijhouden wie/wanneer/waar/hoeveel, zonder namen of andere persoonsgegevens.
Waarom: overzicht voor het team, en nodig voor de privacy-afspraken.</t>
        </is>
      </c>
      <c r="G51" s="12" t="inlineStr">
        <is>
          <t>Doelgroeponderzoek &amp; concepttoets</t>
        </is>
      </c>
      <c r="H51" s="12" t="n">
        <v>2</v>
      </c>
      <c r="I51" s="12" t="n"/>
      <c r="J51" s="14" t="n">
        <v>0.5</v>
      </c>
      <c r="K51" s="12" t="inlineStr">
        <is>
          <t>Highest</t>
        </is>
      </c>
      <c r="L51" s="13" t="n"/>
      <c r="M51" s="15" t="n">
        <v>46304</v>
      </c>
      <c r="N51" s="16" t="n"/>
      <c r="O51" s="12" t="inlineStr">
        <is>
          <t>To Do</t>
        </is>
      </c>
      <c r="P51" s="12" t="inlineStr">
        <is>
          <t>Ja</t>
        </is>
      </c>
      <c r="Q51" s="13" t="n"/>
    </row>
    <row r="52" ht="38.25" customHeight="1">
      <c r="A52" s="12" t="inlineStr">
        <is>
          <t>S2-08</t>
        </is>
      </c>
      <c r="B52" s="12" t="n">
        <v>54</v>
      </c>
      <c r="C52" s="12" t="n">
        <v>3</v>
      </c>
      <c r="D52" s="12" t="inlineStr">
        <is>
          <t>Story</t>
        </is>
      </c>
      <c r="E52" s="13" t="inlineStr">
        <is>
          <t>Toetsplan opstellen</t>
        </is>
      </c>
      <c r="F52" s="13" t="inlineStr">
        <is>
          <t>Waarom: welk concept het beste werkt weten we nog NIET; wat wij en de opdrachtgever ervan vinden is alleen ons beeld. Eerst checken bij de doelgroep zelf!
Acceptatiecriteria: aannamelijst, vragen, methode, doelgroep + aantal deelnemers, analyse-aanpak en planning op papier; hele team heeft het gezien.</t>
        </is>
      </c>
      <c r="G52" s="12" t="inlineStr">
        <is>
          <t>Doelgroeponderzoek &amp; concepttoets</t>
        </is>
      </c>
      <c r="H52" s="12" t="n">
        <v>2</v>
      </c>
      <c r="I52" s="12" t="n">
        <v>3</v>
      </c>
      <c r="J52" s="14" t="n"/>
      <c r="K52" s="12" t="inlineStr">
        <is>
          <t>Highest</t>
        </is>
      </c>
      <c r="L52" s="13" t="inlineStr">
        <is>
          <t>onderzoek deelvraag-2 deelvraag-3 op2 concept-algemeen</t>
        </is>
      </c>
      <c r="M52" s="15" t="n">
        <v>46303</v>
      </c>
      <c r="N52" s="16" t="n"/>
      <c r="O52" s="12" t="inlineStr">
        <is>
          <t>To Do</t>
        </is>
      </c>
      <c r="P52" s="12" t="inlineStr">
        <is>
          <t>Ja</t>
        </is>
      </c>
      <c r="Q52" s="13" t="n"/>
    </row>
    <row r="53" ht="25.5" customHeight="1">
      <c r="A53" s="12" t="inlineStr">
        <is>
          <t>S2-08.1</t>
        </is>
      </c>
      <c r="B53" s="12" t="n">
        <v>55</v>
      </c>
      <c r="C53" s="12" t="n">
        <v>54</v>
      </c>
      <c r="D53" s="12" t="inlineStr">
        <is>
          <t>Sub-task</t>
        </is>
      </c>
      <c r="E53" s="17" t="inlineStr">
        <is>
          <t>Aannamelijst per concept (trein, AI-huisdier, biometrie): wat denkt de opdrachtgever / wat denken wij / wat moeten we bij de doelgroep toetsen</t>
        </is>
      </c>
      <c r="F53" s="13" t="inlineStr">
        <is>
          <t>Wat: per concept opschrijven wat de opdrachtgever denkt, wat wij denken en wat we bij de doelgroep willen checken.
Waarom: zo toetsen we aannames i.p.v. alleen meningen te verzamelen.</t>
        </is>
      </c>
      <c r="G53" s="12" t="inlineStr">
        <is>
          <t>Doelgroeponderzoek &amp; concepttoets</t>
        </is>
      </c>
      <c r="H53" s="12" t="n">
        <v>2</v>
      </c>
      <c r="I53" s="12" t="n"/>
      <c r="J53" s="14" t="n">
        <v>2</v>
      </c>
      <c r="K53" s="12" t="inlineStr">
        <is>
          <t>Highest</t>
        </is>
      </c>
      <c r="L53" s="13" t="n"/>
      <c r="M53" s="15" t="n">
        <v>46303</v>
      </c>
      <c r="N53" s="16" t="n"/>
      <c r="O53" s="12" t="inlineStr">
        <is>
          <t>To Do</t>
        </is>
      </c>
      <c r="P53" s="12" t="inlineStr">
        <is>
          <t>Ja</t>
        </is>
      </c>
      <c r="Q53" s="13" t="n"/>
    </row>
    <row r="54" ht="25.5" customHeight="1">
      <c r="A54" s="12" t="inlineStr">
        <is>
          <t>S2-08.2</t>
        </is>
      </c>
      <c r="B54" s="12" t="n">
        <v>56</v>
      </c>
      <c r="C54" s="12" t="n">
        <v>54</v>
      </c>
      <c r="D54" s="12" t="inlineStr">
        <is>
          <t>Sub-task</t>
        </is>
      </c>
      <c r="E54" s="17" t="inlineStr">
        <is>
          <t>Interviewguide (begrip van Data &amp; AI vóór/na, reactie op de concepten, zelf iets maken)</t>
        </is>
      </c>
      <c r="F54" s="13" t="inlineStr">
        <is>
          <t>Wat: een vaste lijst interviewvragen (begrip van Data &amp; AI vóór/na, reactie op de concepten, zin om zelf iets te maken).
Waarom: iedereen stelt dezelfde vragen = betrouwbaarder.</t>
        </is>
      </c>
      <c r="G54" s="12" t="inlineStr">
        <is>
          <t>Doelgroeponderzoek &amp; concepttoets</t>
        </is>
      </c>
      <c r="H54" s="12" t="n">
        <v>2</v>
      </c>
      <c r="I54" s="12" t="n"/>
      <c r="J54" s="14" t="n">
        <v>2</v>
      </c>
      <c r="K54" s="12" t="inlineStr">
        <is>
          <t>Highest</t>
        </is>
      </c>
      <c r="L54" s="13" t="n"/>
      <c r="M54" s="15" t="n">
        <v>46303</v>
      </c>
      <c r="N54" s="16" t="n"/>
      <c r="O54" s="12" t="inlineStr">
        <is>
          <t>To Do</t>
        </is>
      </c>
      <c r="P54" s="12" t="inlineStr">
        <is>
          <t>Ja</t>
        </is>
      </c>
      <c r="Q54" s="13" t="n"/>
    </row>
    <row r="55" ht="76.5" customHeight="1">
      <c r="A55" s="12" t="inlineStr">
        <is>
          <t>S2-08.3</t>
        </is>
      </c>
      <c r="B55" s="12" t="n">
        <v>57</v>
      </c>
      <c r="C55" s="12" t="n">
        <v>54</v>
      </c>
      <c r="D55" s="12" t="inlineStr">
        <is>
          <t>Sub-task</t>
        </is>
      </c>
      <c r="E55" s="17" t="inlineStr">
        <is>
          <t>Korte enquête (bv. 5 vragen, ook bruikbaar op open dag)</t>
        </is>
      </c>
      <c r="F55" s="13" t="inlineStr">
        <is>
          <t>Wat: een korte enquête (± 5 vragen) die ook op de open dag te gebruiken is.
Waarom: snel een breder beeld dan alleen interviews.</t>
        </is>
      </c>
      <c r="G55" s="12" t="inlineStr">
        <is>
          <t>Doelgroeponderzoek &amp; concepttoets</t>
        </is>
      </c>
      <c r="H55" s="12" t="n">
        <v>2</v>
      </c>
      <c r="I55" s="12" t="n"/>
      <c r="J55" s="14" t="n">
        <v>2</v>
      </c>
      <c r="K55" s="12" t="inlineStr">
        <is>
          <t>Highest</t>
        </is>
      </c>
      <c r="L55" s="13" t="n"/>
      <c r="M55" s="15" t="n">
        <v>46303</v>
      </c>
      <c r="N55" s="16" t="n"/>
      <c r="O55" s="12" t="inlineStr">
        <is>
          <t>To Do</t>
        </is>
      </c>
      <c r="P55" s="12" t="inlineStr">
        <is>
          <t>Ja</t>
        </is>
      </c>
      <c r="Q55" s="13" t="n"/>
    </row>
    <row r="56" ht="38.25" customHeight="1">
      <c r="A56" s="12" t="inlineStr">
        <is>
          <t>S2-08.4</t>
        </is>
      </c>
      <c r="B56" s="12" t="n">
        <v>58</v>
      </c>
      <c r="C56" s="12" t="n">
        <v>54</v>
      </c>
      <c r="D56" s="12" t="inlineStr">
        <is>
          <t>Sub-task</t>
        </is>
      </c>
      <c r="E56" s="17" t="inlineStr">
        <is>
          <t>Analyse-aanpak vastleggen (labelen + in thema's clusteren, per doelgroep vergelijken)</t>
        </is>
      </c>
      <c r="F56" s="13" t="inlineStr">
        <is>
          <t>Wat: vooraf afspreken hoe we de resultaten analyseren (labelen, in thema's clusteren, per doelgroep vergelijken).
Waarom: de rubric vraagt een analyse-aanpak, en zo kijken we achteraf niet alleen naar wat we wilden zien.</t>
        </is>
      </c>
      <c r="G56" s="12" t="inlineStr">
        <is>
          <t>Doelgroeponderzoek &amp; concepttoets</t>
        </is>
      </c>
      <c r="H56" s="12" t="n">
        <v>2</v>
      </c>
      <c r="I56" s="12" t="n"/>
      <c r="J56" s="14" t="n">
        <v>1</v>
      </c>
      <c r="K56" s="12" t="inlineStr">
        <is>
          <t>Highest</t>
        </is>
      </c>
      <c r="L56" s="13" t="n"/>
      <c r="M56" s="15" t="n">
        <v>46303</v>
      </c>
      <c r="N56" s="16" t="n"/>
      <c r="O56" s="12" t="inlineStr">
        <is>
          <t>To Do</t>
        </is>
      </c>
      <c r="P56" s="12" t="inlineStr">
        <is>
          <t>Ja</t>
        </is>
      </c>
      <c r="Q56" s="13" t="n"/>
    </row>
    <row r="57" ht="25.5" customHeight="1">
      <c r="A57" s="12" t="inlineStr">
        <is>
          <t>S2-09</t>
        </is>
      </c>
      <c r="B57" s="12" t="n">
        <v>59</v>
      </c>
      <c r="C57" s="12" t="n">
        <v>3</v>
      </c>
      <c r="D57" s="12" t="inlineStr">
        <is>
          <t>Story</t>
        </is>
      </c>
      <c r="E57" s="13" t="inlineStr">
        <is>
          <t>Low-fi toetsmateriaal maken voor alle drie de concepten</t>
        </is>
      </c>
      <c r="F57" s="13" t="inlineStr">
        <is>
          <t>Waarom: om echt te kunnen kiezen moeten de drie concepten op dezelfde manier getoetst worden (zelfde format, zelfde detail), anders is het geen eerlijke vergelijking.</t>
        </is>
      </c>
      <c r="G57" s="12" t="inlineStr">
        <is>
          <t>Doelgroeponderzoek &amp; concepttoets</t>
        </is>
      </c>
      <c r="H57" s="12" t="n">
        <v>2</v>
      </c>
      <c r="I57" s="12" t="n">
        <v>3</v>
      </c>
      <c r="J57" s="14" t="n"/>
      <c r="K57" s="12" t="inlineStr">
        <is>
          <t>High</t>
        </is>
      </c>
      <c r="L57" s="13" t="inlineStr">
        <is>
          <t>ontwerp prototype concept-trein concept-aihuisdier concept-biometrie pr1</t>
        </is>
      </c>
      <c r="M57" s="15" t="n">
        <v>46307</v>
      </c>
      <c r="N57" s="16" t="n"/>
      <c r="O57" s="12" t="inlineStr">
        <is>
          <t>To Do</t>
        </is>
      </c>
      <c r="P57" s="12" t="inlineStr">
        <is>
          <t>Ja</t>
        </is>
      </c>
      <c r="Q57" s="13" t="n"/>
    </row>
    <row r="58" ht="38.25" customHeight="1">
      <c r="A58" s="12" t="inlineStr">
        <is>
          <t>S2-09.1</t>
        </is>
      </c>
      <c r="B58" s="12" t="n">
        <v>60</v>
      </c>
      <c r="C58" s="12" t="n">
        <v>59</v>
      </c>
      <c r="D58" s="12" t="inlineStr">
        <is>
          <t>Sub-task</t>
        </is>
      </c>
      <c r="E58" s="17" t="inlineStr">
        <is>
          <t>Storyboard trein (6–8 frames, zelfde format)</t>
        </is>
      </c>
      <c r="F58" s="13" t="inlineStr">
        <is>
          <t>Wat: storyboard van de trein (6–8 frames).
Waarom: om het concept eerlijk naast de andere twee te kunnen leggen.</t>
        </is>
      </c>
      <c r="G58" s="12" t="inlineStr">
        <is>
          <t>Doelgroeponderzoek &amp; concepttoets</t>
        </is>
      </c>
      <c r="H58" s="12" t="n">
        <v>2</v>
      </c>
      <c r="I58" s="12" t="n"/>
      <c r="J58" s="14" t="n">
        <v>2</v>
      </c>
      <c r="K58" s="12" t="inlineStr">
        <is>
          <t>High</t>
        </is>
      </c>
      <c r="L58" s="13" t="n"/>
      <c r="M58" s="15" t="n">
        <v>46307</v>
      </c>
      <c r="N58" s="16" t="n"/>
      <c r="O58" s="12" t="inlineStr">
        <is>
          <t>To Do</t>
        </is>
      </c>
      <c r="P58" s="12" t="inlineStr">
        <is>
          <t>Ja</t>
        </is>
      </c>
      <c r="Q58" s="13" t="n"/>
    </row>
    <row r="59" ht="25.5" customHeight="1">
      <c r="A59" s="12" t="inlineStr">
        <is>
          <t>S2-09.2</t>
        </is>
      </c>
      <c r="B59" s="12" t="n">
        <v>61</v>
      </c>
      <c r="C59" s="12" t="n">
        <v>59</v>
      </c>
      <c r="D59" s="12" t="inlineStr">
        <is>
          <t>Sub-task</t>
        </is>
      </c>
      <c r="E59" s="17" t="inlineStr">
        <is>
          <t>Storyboard AI-huisdier/decision tree builder (6–8 frames, zelfde format)</t>
        </is>
      </c>
      <c r="F59" s="13" t="inlineStr">
        <is>
          <t>Wat: storyboard van het AI-huisdier/de decision tree builder, in hetzelfde format.
Waarom: zelfde detail als de andere twee = eerlijke vergelijking.</t>
        </is>
      </c>
      <c r="G59" s="12" t="inlineStr">
        <is>
          <t>Doelgroeponderzoek &amp; concepttoets</t>
        </is>
      </c>
      <c r="H59" s="12" t="n">
        <v>2</v>
      </c>
      <c r="I59" s="12" t="n"/>
      <c r="J59" s="14" t="n">
        <v>2</v>
      </c>
      <c r="K59" s="12" t="inlineStr">
        <is>
          <t>High</t>
        </is>
      </c>
      <c r="L59" s="13" t="n"/>
      <c r="M59" s="15" t="n">
        <v>46307</v>
      </c>
      <c r="N59" s="16" t="n"/>
      <c r="O59" s="12" t="inlineStr">
        <is>
          <t>To Do</t>
        </is>
      </c>
      <c r="P59" s="12" t="inlineStr">
        <is>
          <t>Ja</t>
        </is>
      </c>
      <c r="Q59" s="13" t="n"/>
    </row>
    <row r="60" ht="38.25" customHeight="1">
      <c r="A60" s="12" t="inlineStr">
        <is>
          <t>S2-09.3</t>
        </is>
      </c>
      <c r="B60" s="12" t="n">
        <v>62</v>
      </c>
      <c r="C60" s="12" t="n">
        <v>59</v>
      </c>
      <c r="D60" s="12" t="inlineStr">
        <is>
          <t>Sub-task</t>
        </is>
      </c>
      <c r="E60" s="17" t="inlineStr">
        <is>
          <t>Storyboard biometrische data-poster (6–8 frames, zelfde format)</t>
        </is>
      </c>
      <c r="F60" s="13" t="inlineStr">
        <is>
          <t>Wat: storyboard van de biometrische data-poster, in hetzelfde format.
Waarom: zelfde detail als de andere twee = eerlijke vergelijking.</t>
        </is>
      </c>
      <c r="G60" s="12" t="inlineStr">
        <is>
          <t>Doelgroeponderzoek &amp; concepttoets</t>
        </is>
      </c>
      <c r="H60" s="12" t="n">
        <v>2</v>
      </c>
      <c r="I60" s="12" t="n"/>
      <c r="J60" s="14" t="n">
        <v>2</v>
      </c>
      <c r="K60" s="12" t="inlineStr">
        <is>
          <t>High</t>
        </is>
      </c>
      <c r="L60" s="13" t="n"/>
      <c r="M60" s="15" t="n">
        <v>46307</v>
      </c>
      <c r="N60" s="16" t="n"/>
      <c r="O60" s="12" t="inlineStr">
        <is>
          <t>To Do</t>
        </is>
      </c>
      <c r="P60" s="12" t="inlineStr">
        <is>
          <t>Ja</t>
        </is>
      </c>
      <c r="Q60" s="13" t="n"/>
    </row>
    <row r="61" ht="38.25" customHeight="1">
      <c r="A61" s="12" t="inlineStr">
        <is>
          <t>S2-10</t>
        </is>
      </c>
      <c r="B61" s="12" t="n">
        <v>64</v>
      </c>
      <c r="C61" s="12" t="n">
        <v>3</v>
      </c>
      <c r="D61" s="12" t="inlineStr">
        <is>
          <t>Story</t>
        </is>
      </c>
      <c r="E61" s="13" t="inlineStr">
        <is>
          <t>Doelgroeptest 1: concepttoets uitvoeren</t>
        </is>
      </c>
      <c r="F61" s="13" t="inlineStr">
        <is>
          <t>Wat: de storyboards van de drie concepten voorleggen aan eerstejaars en scholieren, met interview + enquête.
Waarom: dit is de data waarop we kiezen; zonder toets kiezen we op onderbuikgevoel.
Acceptatiecriteria: minimaal 2 doelgroepen gesproken (bv. ≥ 5 eerstejaars + ≥ 5 scholieren); toestemming geregeld; ruwe notities/opnames opgeslagen.</t>
        </is>
      </c>
      <c r="G61" s="12" t="inlineStr">
        <is>
          <t>Doelgroeponderzoek &amp; concepttoets</t>
        </is>
      </c>
      <c r="H61" s="12" t="n">
        <v>2</v>
      </c>
      <c r="I61" s="12" t="n">
        <v>5</v>
      </c>
      <c r="J61" s="14" t="n"/>
      <c r="K61" s="12" t="inlineStr">
        <is>
          <t>Highest</t>
        </is>
      </c>
      <c r="L61" s="13" t="inlineStr">
        <is>
          <t>onderzoek test deelvraag-2 deelvraag-3 mbo havo-vwo propedeuse</t>
        </is>
      </c>
      <c r="M61" s="15" t="n">
        <v>46310</v>
      </c>
      <c r="N61" s="16" t="n"/>
      <c r="O61" s="12" t="inlineStr">
        <is>
          <t>To Do</t>
        </is>
      </c>
      <c r="P61" s="12" t="inlineStr">
        <is>
          <t>Ja</t>
        </is>
      </c>
      <c r="Q61" s="13" t="n"/>
    </row>
    <row r="62" ht="25.5" customHeight="1">
      <c r="A62" s="12" t="inlineStr">
        <is>
          <t>S2-10.1</t>
        </is>
      </c>
      <c r="B62" s="12" t="n">
        <v>65</v>
      </c>
      <c r="C62" s="12" t="n">
        <v>64</v>
      </c>
      <c r="D62" s="12" t="inlineStr">
        <is>
          <t>Sub-task</t>
        </is>
      </c>
      <c r="E62" s="17" t="inlineStr">
        <is>
          <t>Sessies uitvoeren (2 personen per sessie)</t>
        </is>
      </c>
      <c r="F62" s="13" t="inlineStr">
        <is>
          <t>Wat: toetssessies houden met de storyboards, interviewguide en enquête; altijd met z'n tweeën (één vraagt, één noteert).
Waarom: twee personen = betrouwbaardere notities.</t>
        </is>
      </c>
      <c r="G62" s="12" t="inlineStr">
        <is>
          <t>Doelgroeponderzoek &amp; concepttoets</t>
        </is>
      </c>
      <c r="H62" s="12" t="n">
        <v>2</v>
      </c>
      <c r="I62" s="12" t="n"/>
      <c r="J62" s="14" t="n">
        <v>8</v>
      </c>
      <c r="K62" s="12" t="inlineStr">
        <is>
          <t>Highest</t>
        </is>
      </c>
      <c r="L62" s="13" t="n"/>
      <c r="M62" s="15" t="n">
        <v>46310</v>
      </c>
      <c r="N62" s="16" t="n"/>
      <c r="O62" s="12" t="inlineStr">
        <is>
          <t>To Do</t>
        </is>
      </c>
      <c r="P62" s="12" t="inlineStr">
        <is>
          <t>Ja</t>
        </is>
      </c>
      <c r="Q62" s="13" t="n"/>
    </row>
    <row r="63" ht="25.5" customHeight="1">
      <c r="A63" s="12" t="inlineStr">
        <is>
          <t>S2-10.2</t>
        </is>
      </c>
      <c r="B63" s="12" t="n">
        <v>66</v>
      </c>
      <c r="C63" s="12" t="n">
        <v>64</v>
      </c>
      <c r="D63" s="12" t="inlineStr">
        <is>
          <t>Sub-task</t>
        </is>
      </c>
      <c r="E63" s="17" t="inlineStr">
        <is>
          <t>Notities uitwerken + foto's maken (met toestemming)</t>
        </is>
      </c>
      <c r="F63" s="13" t="inlineStr">
        <is>
          <t>Wat: notities dezelfde dag uitwerken en foto's maken (met toestemming).
Waarom: vers uitwerken = niks vergeten; foto's zijn nodig voor de DR.</t>
        </is>
      </c>
      <c r="G63" s="12" t="inlineStr">
        <is>
          <t>Doelgroeponderzoek &amp; concepttoets</t>
        </is>
      </c>
      <c r="H63" s="12" t="n">
        <v>2</v>
      </c>
      <c r="I63" s="12" t="n"/>
      <c r="J63" s="14" t="n">
        <v>3</v>
      </c>
      <c r="K63" s="12" t="inlineStr">
        <is>
          <t>Highest</t>
        </is>
      </c>
      <c r="L63" s="13" t="n"/>
      <c r="M63" s="15" t="n">
        <v>46310</v>
      </c>
      <c r="N63" s="16" t="n"/>
      <c r="O63" s="12" t="inlineStr">
        <is>
          <t>To Do</t>
        </is>
      </c>
      <c r="P63" s="12" t="inlineStr">
        <is>
          <t>Ja</t>
        </is>
      </c>
      <c r="Q63" s="13" t="n"/>
    </row>
    <row r="64" ht="25.5" customHeight="1">
      <c r="A64" s="12" t="inlineStr">
        <is>
          <t>S2-11</t>
        </is>
      </c>
      <c r="B64" s="12" t="n">
        <v>67</v>
      </c>
      <c r="C64" s="12" t="n">
        <v>3</v>
      </c>
      <c r="D64" s="12" t="inlineStr">
        <is>
          <t>Task</t>
        </is>
      </c>
      <c r="E64" s="13" t="inlineStr">
        <is>
          <t>Toetsresultaten analyseren</t>
        </is>
      </c>
      <c r="F64" s="13" t="inlineStr">
        <is>
          <t>Waarom: van ruwe notities naar inzichten per doelgroep en per concept; input voor de beslismatrix en het beslismoment.
Acceptatiecriteria: gelabelde resultaten, top-inzichten per doelgroep, getoetste vs. niet-getoetste aannames, conclusie per concept.</t>
        </is>
      </c>
      <c r="G64" s="12" t="inlineStr">
        <is>
          <t>Doelgroeponderzoek &amp; concepttoets</t>
        </is>
      </c>
      <c r="H64" s="12" t="n">
        <v>2</v>
      </c>
      <c r="I64" s="12" t="n">
        <v>5</v>
      </c>
      <c r="J64" s="14" t="n"/>
      <c r="K64" s="12" t="inlineStr">
        <is>
          <t>Highest</t>
        </is>
      </c>
      <c r="L64" s="13" t="inlineStr">
        <is>
          <t>onderzoek deelvraag-2 deelvraag-3 op2 op3</t>
        </is>
      </c>
      <c r="M64" s="15" t="n">
        <v>46311</v>
      </c>
      <c r="N64" s="16" t="n"/>
      <c r="O64" s="12" t="inlineStr">
        <is>
          <t>To Do</t>
        </is>
      </c>
      <c r="P64" s="12" t="inlineStr">
        <is>
          <t>Ja</t>
        </is>
      </c>
      <c r="Q64" s="13" t="n"/>
    </row>
    <row r="65" ht="38.25" customHeight="1">
      <c r="A65" s="12" t="inlineStr">
        <is>
          <t>S2-11.1</t>
        </is>
      </c>
      <c r="B65" s="12" t="n">
        <v>68</v>
      </c>
      <c r="C65" s="12" t="n">
        <v>67</v>
      </c>
      <c r="D65" s="12" t="inlineStr">
        <is>
          <t>Sub-task</t>
        </is>
      </c>
      <c r="E65" s="17" t="inlineStr">
        <is>
          <t>Labelen + in thema's clusteren (samen, op whiteboard/Miro/whatever)</t>
        </is>
      </c>
      <c r="F65" s="13" t="inlineStr">
        <is>
          <t>Wat: alle antwoorden labelen en samen in thema's clusteren (whiteboard/Miro).
Waarom: zo zien we patronen i.p.v. losse meningen.</t>
        </is>
      </c>
      <c r="G65" s="12" t="inlineStr">
        <is>
          <t>Doelgroeponderzoek &amp; concepttoets</t>
        </is>
      </c>
      <c r="H65" s="12" t="n">
        <v>2</v>
      </c>
      <c r="I65" s="12" t="n"/>
      <c r="J65" s="14" t="n">
        <v>4</v>
      </c>
      <c r="K65" s="12" t="inlineStr">
        <is>
          <t>Highest</t>
        </is>
      </c>
      <c r="L65" s="13" t="n"/>
      <c r="M65" s="15" t="n">
        <v>46311</v>
      </c>
      <c r="N65" s="16" t="n"/>
      <c r="O65" s="12" t="inlineStr">
        <is>
          <t>To Do</t>
        </is>
      </c>
      <c r="P65" s="12" t="inlineStr">
        <is>
          <t>Ja</t>
        </is>
      </c>
      <c r="Q65" s="13" t="n"/>
    </row>
    <row r="66" ht="38.25" customHeight="1">
      <c r="A66" s="12" t="inlineStr">
        <is>
          <t>S2-11.2</t>
        </is>
      </c>
      <c r="B66" s="12" t="n">
        <v>69</v>
      </c>
      <c r="C66" s="12" t="n">
        <v>67</v>
      </c>
      <c r="D66" s="12" t="inlineStr">
        <is>
          <t>Sub-task</t>
        </is>
      </c>
      <c r="E66" s="17" t="inlineStr">
        <is>
          <t>Vergelijking per doelgroep + aannamelijst bijwerken (getoetst/nog te toetsen)</t>
        </is>
      </c>
      <c r="F66" s="13" t="inlineStr">
        <is>
          <t>Wat: per doelgroep vergelijken, en bij elke aanname noteren: getoetst / nog te toetsen.
Waarom: laat zien wat we nu ECHT weten.</t>
        </is>
      </c>
      <c r="G66" s="12" t="inlineStr">
        <is>
          <t>Doelgroeponderzoek &amp; concepttoets</t>
        </is>
      </c>
      <c r="H66" s="12" t="n">
        <v>2</v>
      </c>
      <c r="I66" s="12" t="n"/>
      <c r="J66" s="14" t="n">
        <v>2</v>
      </c>
      <c r="K66" s="12" t="inlineStr">
        <is>
          <t>Highest</t>
        </is>
      </c>
      <c r="L66" s="13" t="n"/>
      <c r="M66" s="15" t="n">
        <v>46311</v>
      </c>
      <c r="N66" s="16" t="n"/>
      <c r="O66" s="12" t="inlineStr">
        <is>
          <t>To Do</t>
        </is>
      </c>
      <c r="P66" s="12" t="inlineStr">
        <is>
          <t>Ja</t>
        </is>
      </c>
      <c r="Q66" s="13" t="n"/>
    </row>
    <row r="67" ht="38.25" customHeight="1">
      <c r="A67" s="12" t="inlineStr">
        <is>
          <t>S2-11.3</t>
        </is>
      </c>
      <c r="B67" s="12" t="n">
        <v>70</v>
      </c>
      <c r="C67" s="12" t="n">
        <v>67</v>
      </c>
      <c r="D67" s="12" t="inlineStr">
        <is>
          <t>Sub-task</t>
        </is>
      </c>
      <c r="E67" s="17" t="inlineStr">
        <is>
          <t>Conclusie uitschrijven voor het beslismoment</t>
        </is>
      </c>
      <c r="F67" s="13" t="inlineStr">
        <is>
          <t>Wat: een korte conclusie per concept voor het beslismoment.
Waarom: input voor de beslismatrix (S2-13).</t>
        </is>
      </c>
      <c r="G67" s="12" t="inlineStr">
        <is>
          <t>Doelgroeponderzoek &amp; concepttoets</t>
        </is>
      </c>
      <c r="H67" s="12" t="n">
        <v>2</v>
      </c>
      <c r="I67" s="12" t="n"/>
      <c r="J67" s="14" t="n">
        <v>1.5</v>
      </c>
      <c r="K67" s="12" t="inlineStr">
        <is>
          <t>Highest</t>
        </is>
      </c>
      <c r="L67" s="13" t="n"/>
      <c r="M67" s="15" t="n">
        <v>46311</v>
      </c>
      <c r="N67" s="16" t="n"/>
      <c r="O67" s="12" t="inlineStr">
        <is>
          <t>To Do</t>
        </is>
      </c>
      <c r="P67" s="12" t="inlineStr">
        <is>
          <t>Ja</t>
        </is>
      </c>
      <c r="Q67" s="13" t="n"/>
    </row>
    <row r="68" ht="25.5" customHeight="1">
      <c r="A68" s="12" t="inlineStr">
        <is>
          <t>S2-12</t>
        </is>
      </c>
      <c r="B68" s="12" t="n">
        <v>71</v>
      </c>
      <c r="C68" s="12" t="n">
        <v>3</v>
      </c>
      <c r="D68" s="12" t="inlineStr">
        <is>
          <t>Task</t>
        </is>
      </c>
      <c r="E68" s="13" t="inlineStr">
        <is>
          <t>Persona's / empathy maps bijwerken</t>
        </is>
      </c>
      <c r="F68" s="13" t="inlineStr">
        <is>
          <t>Wat: per doelgroep (MBO, HAVO/VWO, propedeuse) een persona of empathy map op basis van wat we in de toets hoorden.
Waarom: duidelijk beeld van voor wie we ontwerpen (deelvraag 2), en handig om aan stakeholders te laten zien.</t>
        </is>
      </c>
      <c r="G68" s="12" t="inlineStr">
        <is>
          <t>Doelgroeponderzoek &amp; concepttoets</t>
        </is>
      </c>
      <c r="H68" s="12" t="n">
        <v>2</v>
      </c>
      <c r="I68" s="12" t="n">
        <v>3</v>
      </c>
      <c r="J68" s="14" t="n"/>
      <c r="K68" s="12" t="inlineStr">
        <is>
          <t>Medium</t>
        </is>
      </c>
      <c r="L68" s="13" t="inlineStr">
        <is>
          <t>ontwerp mbo havo-vwo propedeuse et3-communicatie</t>
        </is>
      </c>
      <c r="M68" s="15" t="n">
        <v>46311</v>
      </c>
      <c r="N68" s="16" t="n"/>
      <c r="O68" s="12" t="inlineStr">
        <is>
          <t>To Do</t>
        </is>
      </c>
      <c r="P68" s="12" t="inlineStr">
        <is>
          <t>Ja</t>
        </is>
      </c>
      <c r="Q68" s="13" t="n"/>
    </row>
    <row r="69" ht="38.25" customHeight="1">
      <c r="A69" s="12" t="inlineStr">
        <is>
          <t>S2-12.1</t>
        </is>
      </c>
      <c r="B69" s="12" t="n">
        <v>72</v>
      </c>
      <c r="C69" s="12" t="n">
        <v>71</v>
      </c>
      <c r="D69" s="12" t="inlineStr">
        <is>
          <t>Sub-task</t>
        </is>
      </c>
      <c r="E69" s="17" t="inlineStr">
        <is>
          <t>Per doelgroep een persona of empathy map op basis van de toetsdata</t>
        </is>
      </c>
      <c r="F69" s="13" t="inlineStr">
        <is>
          <t>Wat: per doelgroep een persona of empathy map maken op basis van de toetsdata.
Waarom: voor wie ontwerpen we eigenlijk?</t>
        </is>
      </c>
      <c r="G69" s="12" t="inlineStr">
        <is>
          <t>Doelgroeponderzoek &amp; concepttoets</t>
        </is>
      </c>
      <c r="H69" s="12" t="n">
        <v>2</v>
      </c>
      <c r="I69" s="12" t="n"/>
      <c r="J69" s="14" t="n">
        <v>4</v>
      </c>
      <c r="K69" s="12" t="inlineStr">
        <is>
          <t>Medium</t>
        </is>
      </c>
      <c r="L69" s="13" t="n"/>
      <c r="M69" s="15" t="n">
        <v>46311</v>
      </c>
      <c r="N69" s="16" t="n"/>
      <c r="O69" s="12" t="inlineStr">
        <is>
          <t>To Do</t>
        </is>
      </c>
      <c r="P69" s="12" t="inlineStr">
        <is>
          <t>Ja</t>
        </is>
      </c>
      <c r="Q69" s="13" t="n"/>
    </row>
    <row r="70" ht="25.5" customHeight="1">
      <c r="A70" s="12" t="inlineStr">
        <is>
          <t>S2-12.2</t>
        </is>
      </c>
      <c r="B70" s="12" t="n">
        <v>73</v>
      </c>
      <c r="C70" s="12" t="n">
        <v>71</v>
      </c>
      <c r="D70" s="12" t="inlineStr">
        <is>
          <t>Sub-task</t>
        </is>
      </c>
      <c r="E70" s="17" t="inlineStr">
        <is>
          <t>Koppelen aan contactmoment (inspireren/informeren/activeren/committeren)</t>
        </is>
      </c>
      <c r="F70" s="13" t="inlineStr">
        <is>
          <t>Wat: per persona aangeven bij welk contactmoment en in welke fase (inspireren/informeren/activeren/committeren) die zit.
Waarom: koppeling met deelvraag 3.</t>
        </is>
      </c>
      <c r="G70" s="12" t="inlineStr">
        <is>
          <t>Doelgroeponderzoek &amp; concepttoets</t>
        </is>
      </c>
      <c r="H70" s="12" t="n">
        <v>2</v>
      </c>
      <c r="I70" s="12" t="n"/>
      <c r="J70" s="14" t="n">
        <v>1</v>
      </c>
      <c r="K70" s="12" t="inlineStr">
        <is>
          <t>Medium</t>
        </is>
      </c>
      <c r="L70" s="13" t="n"/>
      <c r="M70" s="15" t="n">
        <v>46311</v>
      </c>
      <c r="N70" s="16" t="n"/>
      <c r="O70" s="12" t="inlineStr">
        <is>
          <t>To Do</t>
        </is>
      </c>
      <c r="P70" s="12" t="inlineStr">
        <is>
          <t>Ja</t>
        </is>
      </c>
      <c r="Q70" s="13" t="n"/>
    </row>
    <row r="71" ht="25.5" customHeight="1">
      <c r="A71" s="12" t="inlineStr">
        <is>
          <t>S2-43</t>
        </is>
      </c>
      <c r="B71" s="12" t="n">
        <v>74</v>
      </c>
      <c r="C71" s="12" t="n">
        <v>3</v>
      </c>
      <c r="D71" s="12" t="inlineStr">
        <is>
          <t>Task</t>
        </is>
      </c>
      <c r="E71" s="13" t="inlineStr">
        <is>
          <t>Aangeleverde dataset analyseren</t>
        </is>
      </c>
      <c r="F71" s="13" t="inlineStr">
        <is>
          <t>Waarom: de dataset van de opdrachtgever (instroomcijfers + keuzes van studenten, via Arnoud) laat zien waar het probleem ECHT zit: hoeveel studenten kiezen Data &amp; AI, uit welke vooropleiding, en hoe zit dat t.o.v. de andere richtingen? Onderbouwt de aanleiding met cijfers i.p.v. alleen het beeld van de opdrachtgever; input voor deelvraag 2.
Dataset kan herleidbare gegevens bevatten, dus de afspraken uit het hoofdstuk ethiek gelden hier direct!
Acceptatiecriteria: dataset veilig opgeslagen (alleen projectgroep); analyse met 3–5 kernbevindingen; bevindingen in de aanleiding + bij deelvraag 2; afspraak over verwijderen na afloop vastgelegd.</t>
        </is>
      </c>
      <c r="G71" s="12" t="inlineStr">
        <is>
          <t>Doelgroeponderzoek &amp; concepttoets</t>
        </is>
      </c>
      <c r="H71" s="12" t="n">
        <v>2</v>
      </c>
      <c r="I71" s="12" t="n">
        <v>5</v>
      </c>
      <c r="J71" s="14" t="n"/>
      <c r="K71" s="12" t="inlineStr">
        <is>
          <t>High</t>
        </is>
      </c>
      <c r="L71" s="13" t="inlineStr">
        <is>
          <t>onderzoek deelvraag-2 ethiek et1-kennis et2-oordeel op1 blocked-extern</t>
        </is>
      </c>
      <c r="M71" s="15" t="n">
        <v>46311</v>
      </c>
      <c r="N71" s="16" t="n"/>
      <c r="O71" s="12" t="inlineStr">
        <is>
          <t>To Do</t>
        </is>
      </c>
      <c r="P71" s="12" t="inlineStr">
        <is>
          <t>Ja</t>
        </is>
      </c>
      <c r="Q71" s="13" t="n"/>
    </row>
    <row r="72" ht="25.5" customHeight="1">
      <c r="A72" s="12" t="inlineStr">
        <is>
          <t>S2-43.1</t>
        </is>
      </c>
      <c r="B72" s="12" t="n">
        <v>75</v>
      </c>
      <c r="C72" s="12" t="n">
        <v>74</v>
      </c>
      <c r="D72" s="12" t="inlineStr">
        <is>
          <t>Sub-task</t>
        </is>
      </c>
      <c r="E72" s="17" t="inlineStr">
        <is>
          <t>Dataset ontvangen + afspraken over opslag en toegang vastleggen</t>
        </is>
      </c>
      <c r="F72" s="13" t="inlineStr">
        <is>
          <t>Wat: de dataset ontvangen en afspreken waar hij staat en wie erbij kan (alleen de projectgroep).
Waarom: veilig omgaan met data van de opdrachtgever.</t>
        </is>
      </c>
      <c r="G72" s="12" t="inlineStr">
        <is>
          <t>Doelgroeponderzoek &amp; concepttoets</t>
        </is>
      </c>
      <c r="H72" s="12" t="n">
        <v>2</v>
      </c>
      <c r="I72" s="12" t="n"/>
      <c r="J72" s="14" t="n">
        <v>1</v>
      </c>
      <c r="K72" s="12" t="inlineStr">
        <is>
          <t>High</t>
        </is>
      </c>
      <c r="L72" s="13" t="n"/>
      <c r="M72" s="15" t="n">
        <v>46311</v>
      </c>
      <c r="N72" s="16" t="n"/>
      <c r="O72" s="12" t="inlineStr">
        <is>
          <t>To Do</t>
        </is>
      </c>
      <c r="P72" s="12" t="inlineStr">
        <is>
          <t>Ja</t>
        </is>
      </c>
      <c r="Q72" s="13" t="n"/>
    </row>
    <row r="73" ht="25.5" customHeight="1">
      <c r="A73" s="12" t="inlineStr">
        <is>
          <t>S2-43.2</t>
        </is>
      </c>
      <c r="B73" s="12" t="n">
        <v>76</v>
      </c>
      <c r="C73" s="12" t="n">
        <v>74</v>
      </c>
      <c r="D73" s="12" t="inlineStr">
        <is>
          <t>Sub-task</t>
        </is>
      </c>
      <c r="E73" s="17" t="inlineStr">
        <is>
          <t>Check op herleidbare gegevens en waar nodig anonimiseren</t>
        </is>
      </c>
      <c r="F73" s="13" t="inlineStr">
        <is>
          <t>Wat: checken of er herleidbare gegevens in zitten, en die waar nodig weghalen.
Waarom: privacy (zie het hoofdstuk ethiek).</t>
        </is>
      </c>
      <c r="G73" s="12" t="inlineStr">
        <is>
          <t>Doelgroeponderzoek &amp; concepttoets</t>
        </is>
      </c>
      <c r="H73" s="12" t="n">
        <v>2</v>
      </c>
      <c r="I73" s="12" t="n"/>
      <c r="J73" s="14" t="n">
        <v>1.5</v>
      </c>
      <c r="K73" s="12" t="inlineStr">
        <is>
          <t>High</t>
        </is>
      </c>
      <c r="L73" s="13" t="n"/>
      <c r="M73" s="15" t="n">
        <v>46311</v>
      </c>
      <c r="N73" s="16" t="n"/>
      <c r="O73" s="12" t="inlineStr">
        <is>
          <t>To Do</t>
        </is>
      </c>
      <c r="P73" s="12" t="inlineStr">
        <is>
          <t>Ja</t>
        </is>
      </c>
      <c r="Q73" s="13" t="n"/>
    </row>
    <row r="74" ht="25.5" customHeight="1">
      <c r="A74" s="12" t="inlineStr">
        <is>
          <t>S2-43.3</t>
        </is>
      </c>
      <c r="B74" s="12" t="n">
        <v>77</v>
      </c>
      <c r="C74" s="12" t="n">
        <v>74</v>
      </c>
      <c r="D74" s="12" t="inlineStr">
        <is>
          <t>Sub-task</t>
        </is>
      </c>
      <c r="E74" s="17" t="inlineStr">
        <is>
          <t>Beschrijvende analyse: instroom per richting, vooropleiding en jaar (Excel/Python)</t>
        </is>
      </c>
      <c r="F74" s="13" t="inlineStr">
        <is>
          <t>Wat: tellen en vergelijken: instroom per richting, vooropleiding en jaar (Excel/Python).
Waarom: laat zien waar het probleem echt zit.</t>
        </is>
      </c>
      <c r="G74" s="12" t="inlineStr">
        <is>
          <t>Doelgroeponderzoek &amp; concepttoets</t>
        </is>
      </c>
      <c r="H74" s="12" t="n">
        <v>2</v>
      </c>
      <c r="I74" s="12" t="n"/>
      <c r="J74" s="14" t="n">
        <v>4</v>
      </c>
      <c r="K74" s="12" t="inlineStr">
        <is>
          <t>High</t>
        </is>
      </c>
      <c r="L74" s="13" t="n"/>
      <c r="M74" s="15" t="n">
        <v>46311</v>
      </c>
      <c r="N74" s="16" t="n"/>
      <c r="O74" s="12" t="inlineStr">
        <is>
          <t>To Do</t>
        </is>
      </c>
      <c r="P74" s="12" t="inlineStr">
        <is>
          <t>Ja</t>
        </is>
      </c>
      <c r="Q74" s="13" t="n"/>
    </row>
    <row r="75" ht="140.25" customHeight="1">
      <c r="A75" s="12" t="inlineStr">
        <is>
          <t>S2-43.4</t>
        </is>
      </c>
      <c r="B75" s="12" t="n">
        <v>78</v>
      </c>
      <c r="C75" s="12" t="n">
        <v>74</v>
      </c>
      <c r="D75" s="12" t="inlineStr">
        <is>
          <t>Sub-task</t>
        </is>
      </c>
      <c r="E75" s="17" t="inlineStr">
        <is>
          <t>Kernbevindingen + grafiek(en) in het onderzoeksplan (aanleiding, deelvraag 2)</t>
        </is>
      </c>
      <c r="F75" s="13" t="inlineStr">
        <is>
          <t>Wat: 3–5 kernbevindingen + een grafiek in het onderzoeksplan zetten.
Waarom: onderbouwt de aanleiding met cijfers.</t>
        </is>
      </c>
      <c r="G75" s="12" t="inlineStr">
        <is>
          <t>Doelgroeponderzoek &amp; concepttoets</t>
        </is>
      </c>
      <c r="H75" s="12" t="n">
        <v>2</v>
      </c>
      <c r="I75" s="12" t="n"/>
      <c r="J75" s="14" t="n">
        <v>2</v>
      </c>
      <c r="K75" s="12" t="inlineStr">
        <is>
          <t>High</t>
        </is>
      </c>
      <c r="L75" s="13" t="n"/>
      <c r="M75" s="15" t="n">
        <v>46311</v>
      </c>
      <c r="N75" s="16" t="n"/>
      <c r="O75" s="12" t="inlineStr">
        <is>
          <t>To Do</t>
        </is>
      </c>
      <c r="P75" s="12" t="inlineStr">
        <is>
          <t>Ja</t>
        </is>
      </c>
      <c r="Q75" s="13" t="n"/>
    </row>
    <row r="76" ht="25.5" customHeight="1">
      <c r="A76" s="12" t="inlineStr">
        <is>
          <t>S2-43.5</t>
        </is>
      </c>
      <c r="B76" s="12" t="n">
        <v>79</v>
      </c>
      <c r="C76" s="12" t="n">
        <v>74</v>
      </c>
      <c r="D76" s="12" t="inlineStr">
        <is>
          <t>Sub-task</t>
        </is>
      </c>
      <c r="E76" s="17" t="inlineStr">
        <is>
          <t>Afspraak over verwijderen + bevestiging aan aanleverder vastleggen (uitvoeren na het project)</t>
        </is>
      </c>
      <c r="F76" s="13" t="inlineStr">
        <is>
          <t>Wat: vastleggen dat we de dataset na het project verwijderen en dat aan de aanleverder bevestigen.
Waarom: afspraak uit het onderzoeksplan.</t>
        </is>
      </c>
      <c r="G76" s="12" t="inlineStr">
        <is>
          <t>Doelgroeponderzoek &amp; concepttoets</t>
        </is>
      </c>
      <c r="H76" s="12" t="n">
        <v>2</v>
      </c>
      <c r="I76" s="12" t="n"/>
      <c r="J76" s="14" t="n">
        <v>0.5</v>
      </c>
      <c r="K76" s="12" t="inlineStr">
        <is>
          <t>High</t>
        </is>
      </c>
      <c r="L76" s="13" t="n"/>
      <c r="M76" s="15" t="n">
        <v>46311</v>
      </c>
      <c r="N76" s="16" t="n"/>
      <c r="O76" s="12" t="inlineStr">
        <is>
          <t>To Do</t>
        </is>
      </c>
      <c r="P76" s="12" t="inlineStr">
        <is>
          <t>Ja</t>
        </is>
      </c>
      <c r="Q76" s="13" t="n"/>
    </row>
    <row r="77" ht="38.25" customHeight="1">
      <c r="A77" s="12" t="inlineStr">
        <is>
          <t>S2-13</t>
        </is>
      </c>
      <c r="B77" s="12" t="n">
        <v>80</v>
      </c>
      <c r="C77" s="12" t="n">
        <v>4</v>
      </c>
      <c r="D77" s="12" t="inlineStr">
        <is>
          <t>Task</t>
        </is>
      </c>
      <c r="E77" s="13" t="inlineStr">
        <is>
          <t>Beslismatrix concepten</t>
        </is>
      </c>
      <c r="F77" s="13" t="inlineStr">
        <is>
          <t>Waarom: met een beslismatrix is achteraf te volgen WAAROM we een concept kozen, en kiezen we niet op gevoel (OP3, beslissingenlog).
Criteria (voorstel, uit de feedback van de opdrachtgever): bezoeker maakt/bouwt zelf iets · zelfstandig op te zetten door studenten/docenten · cross-over tussen ICT-richtingen · spreekt brede doelgroep aan (incl. meiden, niet alleen "nerds") · past bij contactmoment(en) · kosten/haalbaarheid · laat meer zien van AI dan alleen LLM's · reactie van de doelgroep (S2-11), etc.</t>
        </is>
      </c>
      <c r="G77" s="12" t="inlineStr">
        <is>
          <t>Conceptkeuze</t>
        </is>
      </c>
      <c r="H77" s="12" t="n">
        <v>2</v>
      </c>
      <c r="I77" s="12" t="n">
        <v>3</v>
      </c>
      <c r="J77" s="14" t="n"/>
      <c r="K77" s="12" t="inlineStr">
        <is>
          <t>Highest</t>
        </is>
      </c>
      <c r="L77" s="13" t="inlineStr">
        <is>
          <t>onderzoek deelvraag-4 concept-algemeen op3</t>
        </is>
      </c>
      <c r="M77" s="15" t="n">
        <v>46311</v>
      </c>
      <c r="N77" s="16" t="n"/>
      <c r="O77" s="12" t="inlineStr">
        <is>
          <t>To Do</t>
        </is>
      </c>
      <c r="P77" s="12" t="inlineStr">
        <is>
          <t>Ja</t>
        </is>
      </c>
      <c r="Q77" s="13" t="n"/>
    </row>
    <row r="78" ht="25.5" customHeight="1">
      <c r="A78" s="12" t="inlineStr">
        <is>
          <t>S2-13.1</t>
        </is>
      </c>
      <c r="B78" s="12" t="n">
        <v>81</v>
      </c>
      <c r="C78" s="12" t="n">
        <v>80</v>
      </c>
      <c r="D78" s="12" t="inlineStr">
        <is>
          <t>Sub-task</t>
        </is>
      </c>
      <c r="E78" s="17" t="inlineStr">
        <is>
          <t>Criteria + gewichten samen vaststellen</t>
        </is>
      </c>
      <c r="F78" s="13" t="inlineStr">
        <is>
          <t>Wat: samen bepalen op welke criteria we de concepten scoren, en hoe zwaar elk criterium weegt.
Waarom: de criteria moeten vóór het scoren vastliggen, anders kies je ze (onbewust) bij je favoriet.</t>
        </is>
      </c>
      <c r="G78" s="12" t="inlineStr">
        <is>
          <t>Conceptkeuze</t>
        </is>
      </c>
      <c r="H78" s="12" t="n">
        <v>2</v>
      </c>
      <c r="I78" s="12" t="n"/>
      <c r="J78" s="14" t="n">
        <v>2</v>
      </c>
      <c r="K78" s="12" t="inlineStr">
        <is>
          <t>Highest</t>
        </is>
      </c>
      <c r="L78" s="13" t="n"/>
      <c r="M78" s="15" t="n">
        <v>46311</v>
      </c>
      <c r="N78" s="16" t="n"/>
      <c r="O78" s="12" t="inlineStr">
        <is>
          <t>To Do</t>
        </is>
      </c>
      <c r="P78" s="12" t="inlineStr">
        <is>
          <t>Ja</t>
        </is>
      </c>
      <c r="Q78" s="13" t="n"/>
    </row>
    <row r="79" ht="25.5" customHeight="1">
      <c r="A79" s="12" t="inlineStr">
        <is>
          <t>S2-13.2</t>
        </is>
      </c>
      <c r="B79" s="12" t="n">
        <v>82</v>
      </c>
      <c r="C79" s="12" t="n">
        <v>80</v>
      </c>
      <c r="D79" s="12" t="inlineStr">
        <is>
          <t>Sub-task</t>
        </is>
      </c>
      <c r="E79" s="17" t="inlineStr">
        <is>
          <t>Scoren (ieder apart, daarna bespreken)</t>
        </is>
      </c>
      <c r="F79" s="13" t="inlineStr">
        <is>
          <t>Wat: iedereen scoort eerst alleen, daarna bespreken we de verschillen.
Waarom: zo neemt niet één mening het hele team mee.</t>
        </is>
      </c>
      <c r="G79" s="12" t="inlineStr">
        <is>
          <t>Conceptkeuze</t>
        </is>
      </c>
      <c r="H79" s="12" t="n">
        <v>2</v>
      </c>
      <c r="I79" s="12" t="n"/>
      <c r="J79" s="14" t="n">
        <v>2</v>
      </c>
      <c r="K79" s="12" t="inlineStr">
        <is>
          <t>Highest</t>
        </is>
      </c>
      <c r="L79" s="13" t="n"/>
      <c r="M79" s="15" t="n">
        <v>46311</v>
      </c>
      <c r="N79" s="16" t="n"/>
      <c r="O79" s="12" t="inlineStr">
        <is>
          <t>To Do</t>
        </is>
      </c>
      <c r="P79" s="12" t="inlineStr">
        <is>
          <t>Ja</t>
        </is>
      </c>
      <c r="Q79" s="13" t="n"/>
    </row>
    <row r="80" ht="25.5" customHeight="1">
      <c r="A80" s="12" t="inlineStr">
        <is>
          <t>S2-13.3</t>
        </is>
      </c>
      <c r="B80" s="12" t="n">
        <v>83</v>
      </c>
      <c r="C80" s="12" t="n">
        <v>80</v>
      </c>
      <c r="D80" s="12" t="inlineStr">
        <is>
          <t>Sub-task</t>
        </is>
      </c>
      <c r="E80" s="17" t="inlineStr">
        <is>
          <t>Matrix + uitleg in het onderzoeksplan</t>
        </is>
      </c>
      <c r="F80" s="13" t="inlineStr">
        <is>
          <t>Wat: de matrix + uitleg in het onderzoeksplan zetten.
Waarom: de keuze moet te volgen zijn (OP3).</t>
        </is>
      </c>
      <c r="G80" s="12" t="inlineStr">
        <is>
          <t>Conceptkeuze</t>
        </is>
      </c>
      <c r="H80" s="12" t="n">
        <v>2</v>
      </c>
      <c r="I80" s="12" t="n"/>
      <c r="J80" s="14" t="n">
        <v>1</v>
      </c>
      <c r="K80" s="12" t="inlineStr">
        <is>
          <t>Highest</t>
        </is>
      </c>
      <c r="L80" s="13" t="n"/>
      <c r="M80" s="15" t="n">
        <v>46311</v>
      </c>
      <c r="N80" s="16" t="n"/>
      <c r="O80" s="12" t="inlineStr">
        <is>
          <t>To Do</t>
        </is>
      </c>
      <c r="P80" s="12" t="inlineStr">
        <is>
          <t>Ja</t>
        </is>
      </c>
      <c r="Q80" s="13" t="n"/>
    </row>
    <row r="81" ht="76.5" customHeight="1">
      <c r="A81" s="12" t="inlineStr">
        <is>
          <t>S2-14</t>
        </is>
      </c>
      <c r="B81" s="12" t="n">
        <v>84</v>
      </c>
      <c r="C81" s="12" t="n">
        <v>4</v>
      </c>
      <c r="D81" s="12" t="inlineStr">
        <is>
          <t>Task</t>
        </is>
      </c>
      <c r="E81" s="13" t="inlineStr">
        <is>
          <t>Conceptkeuze + terugkoppeling opdrachtgever</t>
        </is>
      </c>
      <c r="F81" s="13" t="inlineStr">
        <is>
          <t>Waarom: de keuze moet expliciet gemaakt én vastgelegd worden, en de opdrachtgever moet weten welk concept het wordt voordat we gaan bouwen.
Acceptatiecriteria: besluit in het beslissingenlog (welk concept / alternatieven / waarom / op basis van welke data); opdrachtgever via Teams op de hoogte.</t>
        </is>
      </c>
      <c r="G81" s="12" t="inlineStr">
        <is>
          <t>Conceptkeuze</t>
        </is>
      </c>
      <c r="H81" s="12" t="n">
        <v>2</v>
      </c>
      <c r="I81" s="12" t="n">
        <v>2</v>
      </c>
      <c r="J81" s="14" t="n"/>
      <c r="K81" s="12" t="inlineStr">
        <is>
          <t>Highest</t>
        </is>
      </c>
      <c r="L81" s="13" t="inlineStr">
        <is>
          <t>stakeholder concept-algemeen pr1 pr3</t>
        </is>
      </c>
      <c r="M81" s="15" t="n">
        <v>46311</v>
      </c>
      <c r="N81" s="16" t="n"/>
      <c r="O81" s="12" t="inlineStr">
        <is>
          <t>To Do</t>
        </is>
      </c>
      <c r="P81" s="12" t="inlineStr">
        <is>
          <t>Ja</t>
        </is>
      </c>
      <c r="Q81" s="13" t="n"/>
    </row>
    <row r="82" ht="51" customHeight="1">
      <c r="A82" s="12" t="inlineStr">
        <is>
          <t>S2-14.1</t>
        </is>
      </c>
      <c r="B82" s="12" t="n">
        <v>85</v>
      </c>
      <c r="C82" s="12" t="n">
        <v>84</v>
      </c>
      <c r="D82" s="12" t="inlineStr">
        <is>
          <t>Sub-task</t>
        </is>
      </c>
      <c r="E82" s="17" t="inlineStr">
        <is>
          <t>Besluitbespreking team</t>
        </is>
      </c>
      <c r="F82" s="13" t="inlineStr">
        <is>
          <t>Wat: met het hele team de keuze maken op basis van de matrix, de toetsresultaten en de quick scan.
Waarom: dit is HET beslismoment van DS2a.</t>
        </is>
      </c>
      <c r="G82" s="12" t="inlineStr">
        <is>
          <t>Conceptkeuze</t>
        </is>
      </c>
      <c r="H82" s="12" t="n">
        <v>2</v>
      </c>
      <c r="I82" s="12" t="n"/>
      <c r="J82" s="14" t="n">
        <v>2</v>
      </c>
      <c r="K82" s="12" t="inlineStr">
        <is>
          <t>Highest</t>
        </is>
      </c>
      <c r="L82" s="13" t="n"/>
      <c r="M82" s="15" t="n">
        <v>46311</v>
      </c>
      <c r="N82" s="16" t="n"/>
      <c r="O82" s="12" t="inlineStr">
        <is>
          <t>To Do</t>
        </is>
      </c>
      <c r="P82" s="12" t="inlineStr">
        <is>
          <t>Ja</t>
        </is>
      </c>
      <c r="Q82" s="13" t="n"/>
    </row>
    <row r="83" ht="38.25" customHeight="1">
      <c r="A83" s="12" t="inlineStr">
        <is>
          <t>S2-14.2</t>
        </is>
      </c>
      <c r="B83" s="12" t="n">
        <v>86</v>
      </c>
      <c r="C83" s="12" t="n">
        <v>84</v>
      </c>
      <c r="D83" s="12" t="inlineStr">
        <is>
          <t>Sub-task</t>
        </is>
      </c>
      <c r="E83" s="17" t="inlineStr">
        <is>
          <t>Beslissingenlog + korte update naar opdrachtgever</t>
        </is>
      </c>
      <c r="F83" s="13" t="inlineStr">
        <is>
          <t>Wat: de keuze in het beslissingenlog (concept / alternatieven / waarom / welke data) + een update naar de opdrachtgever.
Waarom: beslissing zichtbaar, en de opdrachtgever weet waar we naartoe gaan.</t>
        </is>
      </c>
      <c r="G83" s="12" t="inlineStr">
        <is>
          <t>Conceptkeuze</t>
        </is>
      </c>
      <c r="H83" s="12" t="n">
        <v>2</v>
      </c>
      <c r="I83" s="12" t="n"/>
      <c r="J83" s="14" t="n">
        <v>1</v>
      </c>
      <c r="K83" s="12" t="inlineStr">
        <is>
          <t>Highest</t>
        </is>
      </c>
      <c r="L83" s="13" t="n"/>
      <c r="M83" s="15" t="n">
        <v>46311</v>
      </c>
      <c r="N83" s="16" t="n"/>
      <c r="O83" s="12" t="inlineStr">
        <is>
          <t>To Do</t>
        </is>
      </c>
      <c r="P83" s="12" t="inlineStr">
        <is>
          <t>Ja</t>
        </is>
      </c>
      <c r="Q83" s="13" t="n"/>
    </row>
    <row r="84" ht="25.5" customHeight="1">
      <c r="A84" s="12" t="inlineStr">
        <is>
          <t>S2-15</t>
        </is>
      </c>
      <c r="B84" s="12" t="n">
        <v>87</v>
      </c>
      <c r="C84" s="12" t="n">
        <v>4</v>
      </c>
      <c r="D84" s="12" t="inlineStr">
        <is>
          <t>Task</t>
        </is>
      </c>
      <c r="E84" s="13" t="inlineStr">
        <is>
          <t>Afstemming met Infra/SD over bestaande opstellingen op open dagen</t>
        </is>
      </c>
      <c r="F84" s="13" t="inlineStr">
        <is>
          <t>Waarom: Infra ('Hack je gek') en SD werven ook op de open dagen. Wat staat er al, waar is ruimte, en waar zit overlap met elk van onze concepten? (Feedback opdrachtgever: vooral de trein raakt aan 'Hack je gek'.) Kans: samenwerking/cross-over; risico: overlap/concurrentie om dezelfde bezoekers. Input voor de beslismatrix!</t>
        </is>
      </c>
      <c r="G84" s="12" t="inlineStr">
        <is>
          <t>Conceptkeuze</t>
        </is>
      </c>
      <c r="H84" s="12" t="n">
        <v>2</v>
      </c>
      <c r="I84" s="12" t="n">
        <v>2</v>
      </c>
      <c r="J84" s="14" t="n"/>
      <c r="K84" s="12" t="inlineStr">
        <is>
          <t>High</t>
        </is>
      </c>
      <c r="L84" s="13" t="inlineStr">
        <is>
          <t>stakeholder concept-algemeen open-dag pr3 blocked-extern</t>
        </is>
      </c>
      <c r="M84" s="15" t="n">
        <v>46310</v>
      </c>
      <c r="N84" s="16" t="n"/>
      <c r="O84" s="12" t="inlineStr">
        <is>
          <t>To Do</t>
        </is>
      </c>
      <c r="P84" s="12" t="inlineStr">
        <is>
          <t>Ja</t>
        </is>
      </c>
      <c r="Q84" s="13" t="n"/>
    </row>
    <row r="85" ht="38.25" customHeight="1">
      <c r="A85" s="12" t="inlineStr">
        <is>
          <t>S2-15.1</t>
        </is>
      </c>
      <c r="B85" s="12" t="n">
        <v>88</v>
      </c>
      <c r="C85" s="12" t="n">
        <v>87</v>
      </c>
      <c r="D85" s="12" t="inlineStr">
        <is>
          <t>Sub-task</t>
        </is>
      </c>
      <c r="E85" s="17" t="inlineStr">
        <is>
          <t>Contactpersoon Infra/SD achterhalen + gesprek plannen</t>
        </is>
      </c>
      <c r="F85" s="13" t="inlineStr">
        <is>
          <t>Wat: uitzoeken wie bij Infra/SD de open-dag-opstellingen regelt, en een gesprek plannen.
Waarom: zij werven op dezelfde dagen als wij.</t>
        </is>
      </c>
      <c r="G85" s="12" t="inlineStr">
        <is>
          <t>Conceptkeuze</t>
        </is>
      </c>
      <c r="H85" s="12" t="n">
        <v>2</v>
      </c>
      <c r="I85" s="12" t="n"/>
      <c r="J85" s="14" t="n">
        <v>0.5</v>
      </c>
      <c r="K85" s="12" t="inlineStr">
        <is>
          <t>High</t>
        </is>
      </c>
      <c r="L85" s="13" t="n"/>
      <c r="M85" s="15" t="n">
        <v>46310</v>
      </c>
      <c r="N85" s="16" t="n"/>
      <c r="O85" s="12" t="inlineStr">
        <is>
          <t>To Do</t>
        </is>
      </c>
      <c r="P85" s="12" t="inlineStr">
        <is>
          <t>Ja</t>
        </is>
      </c>
      <c r="Q85" s="13" t="n"/>
    </row>
    <row r="86" ht="38.25" customHeight="1">
      <c r="A86" s="12" t="inlineStr">
        <is>
          <t>S2-15.2</t>
        </is>
      </c>
      <c r="B86" s="12" t="n">
        <v>89</v>
      </c>
      <c r="C86" s="12" t="n">
        <v>87</v>
      </c>
      <c r="D86" s="12" t="inlineStr">
        <is>
          <t>Sub-task</t>
        </is>
      </c>
      <c r="E86" s="17" t="inlineStr">
        <is>
          <t>Gesprek voeren (2 personen) + notulen</t>
        </is>
      </c>
      <c r="F86" s="13" t="inlineStr">
        <is>
          <t>Wat: het gesprek voeren met z'n tweeën en notuleren.
Waarom: weten wat er al staat, en waar ruimte/overlap is.</t>
        </is>
      </c>
      <c r="G86" s="12" t="inlineStr">
        <is>
          <t>Conceptkeuze</t>
        </is>
      </c>
      <c r="H86" s="12" t="n">
        <v>2</v>
      </c>
      <c r="I86" s="12" t="n"/>
      <c r="J86" s="14" t="n">
        <v>2</v>
      </c>
      <c r="K86" s="12" t="inlineStr">
        <is>
          <t>High</t>
        </is>
      </c>
      <c r="L86" s="13" t="n"/>
      <c r="M86" s="15" t="n">
        <v>46310</v>
      </c>
      <c r="N86" s="16" t="n"/>
      <c r="O86" s="12" t="inlineStr">
        <is>
          <t>To Do</t>
        </is>
      </c>
      <c r="P86" s="12" t="inlineStr">
        <is>
          <t>Ja</t>
        </is>
      </c>
      <c r="Q86" s="13" t="n"/>
    </row>
    <row r="87" ht="51" customHeight="1">
      <c r="A87" s="12" t="inlineStr">
        <is>
          <t>S2-15.3</t>
        </is>
      </c>
      <c r="B87" s="12" t="n">
        <v>90</v>
      </c>
      <c r="C87" s="12" t="n">
        <v>87</v>
      </c>
      <c r="D87" s="12" t="inlineStr">
        <is>
          <t>Sub-task</t>
        </is>
      </c>
      <c r="E87" s="17" t="inlineStr">
        <is>
          <t>Conflicterende/gedeelde belangen in de stakeholderanalyse zetten</t>
        </is>
      </c>
      <c r="F87" s="13" t="inlineStr">
        <is>
          <t>Wat: gedeelde en conflicterende belangen in de stakeholderanalyse zetten.
Waarom: conflicterende belangen zichtbaar maken = PR3 goed.</t>
        </is>
      </c>
      <c r="G87" s="12" t="inlineStr">
        <is>
          <t>Conceptkeuze</t>
        </is>
      </c>
      <c r="H87" s="12" t="n">
        <v>2</v>
      </c>
      <c r="I87" s="12" t="n"/>
      <c r="J87" s="14" t="n">
        <v>0.5</v>
      </c>
      <c r="K87" s="12" t="inlineStr">
        <is>
          <t>High</t>
        </is>
      </c>
      <c r="L87" s="13" t="n"/>
      <c r="M87" s="15" t="n">
        <v>46310</v>
      </c>
      <c r="N87" s="16" t="n"/>
      <c r="O87" s="12" t="inlineStr">
        <is>
          <t>To Do</t>
        </is>
      </c>
      <c r="P87" s="12" t="inlineStr">
        <is>
          <t>Ja</t>
        </is>
      </c>
      <c r="Q87" s="13" t="n"/>
    </row>
    <row r="88" ht="63.75" customHeight="1">
      <c r="A88" s="12" t="inlineStr">
        <is>
          <t>S2-45</t>
        </is>
      </c>
      <c r="B88" s="12" t="n">
        <v>91</v>
      </c>
      <c r="C88" s="12" t="n">
        <v>5</v>
      </c>
      <c r="D88" s="12" t="inlineStr">
        <is>
          <t>Task</t>
        </is>
      </c>
      <c r="E88" s="13" t="inlineStr">
        <is>
          <t>Co-creatiesessie plannen</t>
        </is>
      </c>
      <c r="F88" s="13" t="inlineStr">
        <is>
          <t>Waarom: bij co-creatie ontwerpen we SAMEN met de doelgroep, i.p.v. ze alleen onze ideeën te laten beoordelen. Past bij build-to-design, geeft betere eisen voor deelvraag 4 en laat zien dat we stakeholders actief betrekken (PR3). De sessie zelf is in week 44 (S2-46, DS2b), maar deelnemers moeten vóór de vakantie vastliggen.
Staat bij E5 omdat de uitkomst het concept vormgeeft, maar valt in DS2a!
Acceptatiecriteria: doel, vorm, deelnemers, datum en materialen liggen vast.</t>
        </is>
      </c>
      <c r="G88" s="12" t="inlineStr">
        <is>
          <t>Gekozen concept uitwerken</t>
        </is>
      </c>
      <c r="H88" s="12" t="n">
        <v>2</v>
      </c>
      <c r="I88" s="12" t="n">
        <v>2</v>
      </c>
      <c r="J88" s="14" t="n"/>
      <c r="K88" s="12" t="inlineStr">
        <is>
          <t>High</t>
        </is>
      </c>
      <c r="L88" s="13" t="inlineStr">
        <is>
          <t>ontwerp stakeholder deelvraag-4 propedeuse havo-vwo pr3</t>
        </is>
      </c>
      <c r="M88" s="15" t="n">
        <v>46311</v>
      </c>
      <c r="N88" s="16" t="n"/>
      <c r="O88" s="12" t="inlineStr">
        <is>
          <t>To Do</t>
        </is>
      </c>
      <c r="P88" s="12" t="inlineStr">
        <is>
          <t>Ja</t>
        </is>
      </c>
      <c r="Q88" s="13" t="n"/>
    </row>
    <row r="89" ht="38.25" customHeight="1">
      <c r="A89" s="12" t="inlineStr">
        <is>
          <t>S2-45.1</t>
        </is>
      </c>
      <c r="B89" s="12" t="n">
        <v>92</v>
      </c>
      <c r="C89" s="12" t="n">
        <v>91</v>
      </c>
      <c r="D89" s="12" t="inlineStr">
        <is>
          <t>Sub-task</t>
        </is>
      </c>
      <c r="E89" s="17" t="inlineStr">
        <is>
          <t>Doel en vorm bepalen (bv. 45 min met 4–6 eerstejaars/scholieren: samen de 15-minuten-ervaring ontwerpen)</t>
        </is>
      </c>
      <c r="F89" s="13" t="inlineStr">
        <is>
          <t>Wat: bepalen wat we willen ophalen en hoe de sessie eruitziet (bv. 45 min, 4–6 deelnemers, samen de 15-minuten-ervaring ontwerpen).
Waarom: zonder duidelijk doel levert co-creatie weinig op.</t>
        </is>
      </c>
      <c r="G89" s="12" t="inlineStr">
        <is>
          <t>Gekozen concept uitwerken</t>
        </is>
      </c>
      <c r="H89" s="12" t="n">
        <v>2</v>
      </c>
      <c r="I89" s="12" t="n"/>
      <c r="J89" s="14" t="n">
        <v>1.5</v>
      </c>
      <c r="K89" s="12" t="inlineStr">
        <is>
          <t>High</t>
        </is>
      </c>
      <c r="L89" s="13" t="n"/>
      <c r="M89" s="15" t="n">
        <v>46311</v>
      </c>
      <c r="N89" s="16" t="n"/>
      <c r="O89" s="12" t="inlineStr">
        <is>
          <t>To Do</t>
        </is>
      </c>
      <c r="P89" s="12" t="inlineStr">
        <is>
          <t>Ja</t>
        </is>
      </c>
      <c r="Q89" s="13" t="n"/>
    </row>
    <row r="90" ht="25.5" customHeight="1">
      <c r="A90" s="12" t="inlineStr">
        <is>
          <t>S2-45.2</t>
        </is>
      </c>
      <c r="B90" s="12" t="n">
        <v>93</v>
      </c>
      <c r="C90" s="12" t="n">
        <v>91</v>
      </c>
      <c r="D90" s="12" t="inlineStr">
        <is>
          <t>Sub-task</t>
        </is>
      </c>
      <c r="E90" s="17" t="inlineStr">
        <is>
          <t>Deelnemers + datum vastleggen (via S2-44)</t>
        </is>
      </c>
      <c r="F90" s="13" t="inlineStr">
        <is>
          <t>Wat: deelnemers en datum (week 44) vastleggen, via S2-44.
Waarom: vóór de vakantie regelen, anders is het te laat.</t>
        </is>
      </c>
      <c r="G90" s="12" t="inlineStr">
        <is>
          <t>Gekozen concept uitwerken</t>
        </is>
      </c>
      <c r="H90" s="12" t="n">
        <v>2</v>
      </c>
      <c r="I90" s="12" t="n"/>
      <c r="J90" s="14" t="n">
        <v>1</v>
      </c>
      <c r="K90" s="12" t="inlineStr">
        <is>
          <t>High</t>
        </is>
      </c>
      <c r="L90" s="13" t="n"/>
      <c r="M90" s="15" t="n">
        <v>46311</v>
      </c>
      <c r="N90" s="16" t="n"/>
      <c r="O90" s="12" t="inlineStr">
        <is>
          <t>To Do</t>
        </is>
      </c>
      <c r="P90" s="12" t="inlineStr">
        <is>
          <t>Ja</t>
        </is>
      </c>
      <c r="Q90" s="13" t="n"/>
    </row>
    <row r="91" ht="25.5" customHeight="1">
      <c r="A91" s="12" t="inlineStr">
        <is>
          <t>S2-45.3</t>
        </is>
      </c>
      <c r="B91" s="12" t="n">
        <v>94</v>
      </c>
      <c r="C91" s="12" t="n">
        <v>91</v>
      </c>
      <c r="D91" s="12" t="inlineStr">
        <is>
          <t>Sub-task</t>
        </is>
      </c>
      <c r="E91" s="17" t="inlineStr">
        <is>
          <t>Draaiboek + materialen (storyboard-kaarten, schetsvellen) voorbereiden</t>
        </is>
      </c>
      <c r="F91" s="13" t="inlineStr">
        <is>
          <t>Wat: draaiboek + materialen maken (storyboard-kaarten, schetsvellen).
Waarom: na de vakantie is er weinig tijd, dus nu al voorbereiden.</t>
        </is>
      </c>
      <c r="G91" s="12" t="inlineStr">
        <is>
          <t>Gekozen concept uitwerken</t>
        </is>
      </c>
      <c r="H91" s="12" t="n">
        <v>2</v>
      </c>
      <c r="I91" s="12" t="n"/>
      <c r="J91" s="14" t="n">
        <v>2</v>
      </c>
      <c r="K91" s="12" t="inlineStr">
        <is>
          <t>High</t>
        </is>
      </c>
      <c r="L91" s="13" t="n"/>
      <c r="M91" s="15" t="n">
        <v>46311</v>
      </c>
      <c r="N91" s="16" t="n"/>
      <c r="O91" s="12" t="inlineStr">
        <is>
          <t>To Do</t>
        </is>
      </c>
      <c r="P91" s="12" t="inlineStr">
        <is>
          <t>Ja</t>
        </is>
      </c>
      <c r="Q91" s="13" t="n"/>
    </row>
    <row r="92" ht="114.75" customHeight="1">
      <c r="A92" s="12" t="inlineStr">
        <is>
          <t>S2-21</t>
        </is>
      </c>
      <c r="B92" s="12" t="n">
        <v>95</v>
      </c>
      <c r="C92" s="12" t="n">
        <v>6</v>
      </c>
      <c r="D92" s="12" t="inlineStr">
        <is>
          <t>Task</t>
        </is>
      </c>
      <c r="E92" s="13" t="inlineStr">
        <is>
          <t>Technische quick scan per concept</t>
        </is>
      </c>
      <c r="F92" s="13" t="inlineStr">
        <is>
          <t>Waarom: haalbaarheid telt mee in de beslismatrix, dus we moeten het voor alle drie weten (niet alleen voor de favoriet). LES Prototypen (do 8 okt) hiervoor gebruiken!</t>
        </is>
      </c>
      <c r="G92" s="12" t="inlineStr">
        <is>
          <t>Haalbaarheid &amp; prototype v1 bouwen</t>
        </is>
      </c>
      <c r="H92" s="12" t="n">
        <v>2</v>
      </c>
      <c r="I92" s="12" t="n">
        <v>5</v>
      </c>
      <c r="J92" s="14" t="n"/>
      <c r="K92" s="12" t="inlineStr">
        <is>
          <t>Highest</t>
        </is>
      </c>
      <c r="L92" s="13" t="inlineStr">
        <is>
          <t>onderzoek prototype deelvraag-4 concept-algemeen</t>
        </is>
      </c>
      <c r="M92" s="15" t="n">
        <v>46309</v>
      </c>
      <c r="N92" s="16" t="n"/>
      <c r="O92" s="12" t="inlineStr">
        <is>
          <t>To Do</t>
        </is>
      </c>
      <c r="P92" s="12" t="inlineStr">
        <is>
          <t>Ja</t>
        </is>
      </c>
      <c r="Q92" s="13" t="n"/>
    </row>
    <row r="93" ht="38.25" customHeight="1">
      <c r="A93" s="12" t="inlineStr">
        <is>
          <t>S2-21.1</t>
        </is>
      </c>
      <c r="B93" s="12" t="n">
        <v>96</v>
      </c>
      <c r="C93" s="12" t="n">
        <v>95</v>
      </c>
      <c r="D93" s="12" t="inlineStr">
        <is>
          <t>Sub-task</t>
        </is>
      </c>
      <c r="E93" s="17" t="inlineStr">
        <is>
          <t>Trein: wat is nodig? (fysiek met Arduino/Raspberry Pi of virtueel in Unity)</t>
        </is>
      </c>
      <c r="F93" s="13" t="inlineStr">
        <is>
          <t>Wat: uitzoeken wat er nodig is voor de trein (fysiek met Arduino/Raspberry Pi, of virtueel in Unity).
Waarom: haalbaarheid telt mee in de beslismatrix.</t>
        </is>
      </c>
      <c r="G93" s="12" t="inlineStr">
        <is>
          <t>Haalbaarheid &amp; prototype v1 bouwen</t>
        </is>
      </c>
      <c r="H93" s="12" t="n">
        <v>2</v>
      </c>
      <c r="I93" s="12" t="n"/>
      <c r="J93" s="14" t="n">
        <v>3</v>
      </c>
      <c r="K93" s="12" t="inlineStr">
        <is>
          <t>Highest</t>
        </is>
      </c>
      <c r="L93" s="13" t="n"/>
      <c r="M93" s="15" t="n">
        <v>46309</v>
      </c>
      <c r="N93" s="16" t="n"/>
      <c r="O93" s="12" t="inlineStr">
        <is>
          <t>To Do</t>
        </is>
      </c>
      <c r="P93" s="12" t="inlineStr">
        <is>
          <t>Ja</t>
        </is>
      </c>
      <c r="Q93" s="13" t="n"/>
    </row>
    <row r="94" ht="25.5" customHeight="1">
      <c r="A94" s="12" t="inlineStr">
        <is>
          <t>S2-21.2</t>
        </is>
      </c>
      <c r="B94" s="12" t="n">
        <v>97</v>
      </c>
      <c r="C94" s="12" t="n">
        <v>95</v>
      </c>
      <c r="D94" s="12" t="inlineStr">
        <is>
          <t>Sub-task</t>
        </is>
      </c>
      <c r="E94" s="17" t="inlineStr">
        <is>
          <t>AI-huisdier: wat is nodig? (decision tree tool, virtuele keeper, evt. 3D-print/NFC)</t>
        </is>
      </c>
      <c r="F94" s="13" t="inlineStr">
        <is>
          <t>Wat: uitzoeken wat er nodig is voor het AI-huisdier (decision tree tool, virtuele keeper, evt. 3D-print/NFC).
Waarom: haalbaarheid telt mee in de beslismatrix.</t>
        </is>
      </c>
      <c r="G94" s="12" t="inlineStr">
        <is>
          <t>Haalbaarheid &amp; prototype v1 bouwen</t>
        </is>
      </c>
      <c r="H94" s="12" t="n">
        <v>2</v>
      </c>
      <c r="I94" s="12" t="n"/>
      <c r="J94" s="14" t="n">
        <v>3</v>
      </c>
      <c r="K94" s="12" t="inlineStr">
        <is>
          <t>Highest</t>
        </is>
      </c>
      <c r="L94" s="13" t="n"/>
      <c r="M94" s="15" t="n">
        <v>46309</v>
      </c>
      <c r="N94" s="16" t="n"/>
      <c r="O94" s="12" t="inlineStr">
        <is>
          <t>To Do</t>
        </is>
      </c>
      <c r="P94" s="12" t="inlineStr">
        <is>
          <t>Ja</t>
        </is>
      </c>
      <c r="Q94" s="13" t="n"/>
    </row>
    <row r="95" ht="25.5" customHeight="1">
      <c r="A95" s="12" t="inlineStr">
        <is>
          <t>S2-21.3</t>
        </is>
      </c>
      <c r="B95" s="12" t="n">
        <v>98</v>
      </c>
      <c r="C95" s="12" t="n">
        <v>95</v>
      </c>
      <c r="D95" s="12" t="inlineStr">
        <is>
          <t>Sub-task</t>
        </is>
      </c>
      <c r="E95" s="17" t="inlineStr">
        <is>
          <t>Biometrie: wat is nodig? (sensoren hartslag/zuurstof, live dashboard)</t>
        </is>
      </c>
      <c r="F95" s="13" t="inlineStr">
        <is>
          <t>Wat: uitzoeken wat er nodig is voor de biometrie (sensoren voor hartslag/zuurstof, live dashboard).
Waarom: haalbaarheid telt mee in de beslismatrix.</t>
        </is>
      </c>
      <c r="G95" s="12" t="inlineStr">
        <is>
          <t>Haalbaarheid &amp; prototype v1 bouwen</t>
        </is>
      </c>
      <c r="H95" s="12" t="n">
        <v>2</v>
      </c>
      <c r="I95" s="12" t="n"/>
      <c r="J95" s="14" t="n">
        <v>3</v>
      </c>
      <c r="K95" s="12" t="inlineStr">
        <is>
          <t>Highest</t>
        </is>
      </c>
      <c r="L95" s="13" t="n"/>
      <c r="M95" s="15" t="n">
        <v>46309</v>
      </c>
      <c r="N95" s="16" t="n"/>
      <c r="O95" s="12" t="inlineStr">
        <is>
          <t>To Do</t>
        </is>
      </c>
      <c r="P95" s="12" t="inlineStr">
        <is>
          <t>Ja</t>
        </is>
      </c>
      <c r="Q95" s="13" t="n"/>
    </row>
    <row r="96" ht="38.25" customHeight="1">
      <c r="A96" s="12" t="inlineStr">
        <is>
          <t>S2-21.4</t>
        </is>
      </c>
      <c r="B96" s="12" t="n">
        <v>99</v>
      </c>
      <c r="C96" s="12" t="n">
        <v>95</v>
      </c>
      <c r="D96" s="12" t="inlineStr">
        <is>
          <t>Sub-task</t>
        </is>
      </c>
      <c r="E96" s="17" t="inlineStr">
        <is>
          <t>Vergelijkingstabel (tijd, kosten, skills in team, opzetten door docent, "wow")</t>
        </is>
      </c>
      <c r="F96" s="13" t="inlineStr">
        <is>
          <t>Wat: de drie naast elkaar in een tabel: tijd, kosten, skills in het team, opzetten door een docent, "wow".
Waarom: maakt de vergelijking overzichtelijk.</t>
        </is>
      </c>
      <c r="G96" s="12" t="inlineStr">
        <is>
          <t>Haalbaarheid &amp; prototype v1 bouwen</t>
        </is>
      </c>
      <c r="H96" s="12" t="n">
        <v>2</v>
      </c>
      <c r="I96" s="12" t="n"/>
      <c r="J96" s="14" t="n">
        <v>2</v>
      </c>
      <c r="K96" s="12" t="inlineStr">
        <is>
          <t>Highest</t>
        </is>
      </c>
      <c r="L96" s="13" t="n"/>
      <c r="M96" s="15" t="n">
        <v>46309</v>
      </c>
      <c r="N96" s="16" t="n"/>
      <c r="O96" s="12" t="inlineStr">
        <is>
          <t>To Do</t>
        </is>
      </c>
      <c r="P96" s="12" t="inlineStr">
        <is>
          <t>Ja</t>
        </is>
      </c>
      <c r="Q96" s="13" t="n"/>
    </row>
    <row r="97" ht="25.5" customHeight="1">
      <c r="A97" s="12" t="inlineStr">
        <is>
          <t>S2-21.5</t>
        </is>
      </c>
      <c r="B97" s="12" t="n">
        <v>100</v>
      </c>
      <c r="C97" s="12" t="n">
        <v>95</v>
      </c>
      <c r="D97" s="12" t="inlineStr">
        <is>
          <t>Sub-task</t>
        </is>
      </c>
      <c r="E97" s="17" t="inlineStr">
        <is>
          <t>Expertgesprek FabLab/docent</t>
        </is>
      </c>
      <c r="F97" s="13" t="inlineStr">
        <is>
          <t>Wat: de quick scan voorleggen aan iemand van het FabLab of een docent.
Waarom: checken of onze inschatting realistisch is.</t>
        </is>
      </c>
      <c r="G97" s="12" t="inlineStr">
        <is>
          <t>Haalbaarheid &amp; prototype v1 bouwen</t>
        </is>
      </c>
      <c r="H97" s="12" t="n">
        <v>2</v>
      </c>
      <c r="I97" s="12" t="n"/>
      <c r="J97" s="14" t="n">
        <v>1</v>
      </c>
      <c r="K97" s="12" t="inlineStr">
        <is>
          <t>Highest</t>
        </is>
      </c>
      <c r="L97" s="13" t="n"/>
      <c r="M97" s="15" t="n">
        <v>46309</v>
      </c>
      <c r="N97" s="16" t="n"/>
      <c r="O97" s="12" t="inlineStr">
        <is>
          <t>To Do</t>
        </is>
      </c>
      <c r="P97" s="12" t="inlineStr">
        <is>
          <t>Ja</t>
        </is>
      </c>
      <c r="Q97" s="13" t="n"/>
    </row>
    <row r="98" ht="25.5" customHeight="1">
      <c r="A98" s="12" t="inlineStr">
        <is>
          <t>S2-30</t>
        </is>
      </c>
      <c r="B98" s="12" t="n">
        <v>101</v>
      </c>
      <c r="C98" s="12" t="n">
        <v>7</v>
      </c>
      <c r="D98" s="12" t="inlineStr">
        <is>
          <t>Task</t>
        </is>
      </c>
      <c r="E98" s="13" t="inlineStr">
        <is>
          <t>Ethiek &amp; privacy uitwerken in het onderzoeksplan</t>
        </is>
      </c>
      <c r="F98" s="13" t="inlineStr">
        <is>
          <t>Waarom: de afspraken over toestemming, opslag en bewaartermijnen staan in het onderzoeksplan nog open, en ethiek is een expliciet beoordelingspunt (ET2). Per concept verschilt het: welke data van (vaak minderjarige) scholieren verzamelen we, en waar blijft die?
Biometrie = gezondheidsdata (hartslag, zuurstof) van minderjarigen, ethisch het zwaarst! Telt mee in de beslismatrix.</t>
        </is>
      </c>
      <c r="G98" s="12" t="inlineStr">
        <is>
          <t>Ethiek &amp; privacy</t>
        </is>
      </c>
      <c r="H98" s="12" t="n">
        <v>2</v>
      </c>
      <c r="I98" s="12" t="n">
        <v>3</v>
      </c>
      <c r="J98" s="14" t="n"/>
      <c r="K98" s="12" t="inlineStr">
        <is>
          <t>High</t>
        </is>
      </c>
      <c r="L98" s="13" t="inlineStr">
        <is>
          <t>onderzoek ethiek et2-oordeel op2</t>
        </is>
      </c>
      <c r="M98" s="15" t="n">
        <v>46311</v>
      </c>
      <c r="N98" s="16" t="n"/>
      <c r="O98" s="12" t="inlineStr">
        <is>
          <t>To Do</t>
        </is>
      </c>
      <c r="P98" s="12" t="inlineStr">
        <is>
          <t>Ja</t>
        </is>
      </c>
      <c r="Q98" s="13" t="n"/>
    </row>
    <row r="99" ht="25.5" customHeight="1">
      <c r="A99" s="12" t="inlineStr">
        <is>
          <t>S2-30.1</t>
        </is>
      </c>
      <c r="B99" s="12" t="n">
        <v>102</v>
      </c>
      <c r="C99" s="12" t="n">
        <v>101</v>
      </c>
      <c r="D99" s="12" t="inlineStr">
        <is>
          <t>Sub-task</t>
        </is>
      </c>
      <c r="E99" s="17" t="inlineStr">
        <is>
          <t>Hoofdstuk ethiek &amp; privacy in het onderzoeksplan aanvullen (toestemming, opslag, bewaartermijn)</t>
        </is>
      </c>
      <c r="F99" s="13" t="inlineStr">
        <is>
          <t>Wat: in het hoofdstuk ethiek de open punten invullen: toestemming, opslag, bewaartermijn.
Waarom: staat nu nog op "wordt nog vastgesteld".</t>
        </is>
      </c>
      <c r="G99" s="12" t="inlineStr">
        <is>
          <t>Ethiek &amp; privacy</t>
        </is>
      </c>
      <c r="H99" s="12" t="n">
        <v>2</v>
      </c>
      <c r="I99" s="12" t="n"/>
      <c r="J99" s="14" t="n">
        <v>1.5</v>
      </c>
      <c r="K99" s="12" t="inlineStr">
        <is>
          <t>High</t>
        </is>
      </c>
      <c r="L99" s="13" t="n"/>
      <c r="M99" s="15" t="n">
        <v>46311</v>
      </c>
      <c r="N99" s="16" t="n"/>
      <c r="O99" s="12" t="inlineStr">
        <is>
          <t>To Do</t>
        </is>
      </c>
      <c r="P99" s="12" t="inlineStr">
        <is>
          <t>Ja</t>
        </is>
      </c>
      <c r="Q99" s="13" t="n"/>
    </row>
    <row r="100" ht="25.5" customHeight="1">
      <c r="A100" s="12" t="inlineStr">
        <is>
          <t>S2-30.2</t>
        </is>
      </c>
      <c r="B100" s="12" t="n">
        <v>103</v>
      </c>
      <c r="C100" s="12" t="n">
        <v>101</v>
      </c>
      <c r="D100" s="12" t="inlineStr">
        <is>
          <t>Sub-task</t>
        </is>
      </c>
      <c r="E100" s="17" t="inlineStr">
        <is>
          <t>Ethische afweging per concept uitschrijven (data, minderjarigen, beeldvorming "AI pakt banen af")</t>
        </is>
      </c>
      <c r="F100" s="13" t="inlineStr">
        <is>
          <t>Wat: per concept uitschrijven welke data het verzamelt en wat de risico's zijn (minderjarigen, beeldvorming over AI).
Waarom: ethiek telt mee in de beslismatrix, en biometrie is het zwaarst.</t>
        </is>
      </c>
      <c r="G100" s="12" t="inlineStr">
        <is>
          <t>Ethiek &amp; privacy</t>
        </is>
      </c>
      <c r="H100" s="12" t="n">
        <v>2</v>
      </c>
      <c r="I100" s="12" t="n"/>
      <c r="J100" s="14" t="n">
        <v>2</v>
      </c>
      <c r="K100" s="12" t="inlineStr">
        <is>
          <t>High</t>
        </is>
      </c>
      <c r="L100" s="13" t="n"/>
      <c r="M100" s="15" t="n">
        <v>46311</v>
      </c>
      <c r="N100" s="16" t="n"/>
      <c r="O100" s="12" t="inlineStr">
        <is>
          <t>To Do</t>
        </is>
      </c>
      <c r="P100" s="12" t="inlineStr">
        <is>
          <t>Ja</t>
        </is>
      </c>
      <c r="Q100" s="13" t="n"/>
    </row>
    <row r="101" ht="38.25" customHeight="1">
      <c r="A101" s="12" t="inlineStr">
        <is>
          <t>S2-31</t>
        </is>
      </c>
      <c r="B101" s="12" t="n">
        <v>104</v>
      </c>
      <c r="C101" s="12" t="n">
        <v>7</v>
      </c>
      <c r="D101" s="12" t="inlineStr">
        <is>
          <t>Task</t>
        </is>
      </c>
      <c r="E101" s="13" t="inlineStr">
        <is>
          <t>Toestemming voor tests &amp; beeldmateriaal (zo nodig)</t>
        </is>
      </c>
      <c r="F101" s="13" t="inlineStr">
        <is>
          <t>Wat: een kort formulier voor deelname + foto/video, en afspraken over herkenbare gezichten.
Waarom: we testen met (soms minderjarige) scholieren en willen foto's gebruiken voor de deliverables; zonder toestemming mag dat niet (ET2).</t>
        </is>
      </c>
      <c r="G101" s="12" t="inlineStr">
        <is>
          <t>Ethiek &amp; privacy</t>
        </is>
      </c>
      <c r="H101" s="12" t="n">
        <v>2</v>
      </c>
      <c r="I101" s="12" t="n">
        <v>2</v>
      </c>
      <c r="J101" s="14" t="n"/>
      <c r="K101" s="12" t="inlineStr">
        <is>
          <t>High</t>
        </is>
      </c>
      <c r="L101" s="13" t="inlineStr">
        <is>
          <t>documentatie et2-oordeel beeld</t>
        </is>
      </c>
      <c r="M101" s="15" t="n">
        <v>46307</v>
      </c>
      <c r="N101" s="16" t="n"/>
      <c r="O101" s="12" t="inlineStr">
        <is>
          <t>To Do</t>
        </is>
      </c>
      <c r="P101" s="12" t="inlineStr">
        <is>
          <t>Ja</t>
        </is>
      </c>
      <c r="Q101" s="13" t="n"/>
    </row>
    <row r="102" ht="76.5" customHeight="1">
      <c r="A102" s="12" t="inlineStr">
        <is>
          <t>S2-31.1</t>
        </is>
      </c>
      <c r="B102" s="12" t="n">
        <v>105</v>
      </c>
      <c r="C102" s="12" t="n">
        <v>104</v>
      </c>
      <c r="D102" s="12" t="inlineStr">
        <is>
          <t>Sub-task</t>
        </is>
      </c>
      <c r="E102" s="17" t="inlineStr">
        <is>
          <t>Kort toestemmingsformulier (deelname + foto/video), check met docent</t>
        </is>
      </c>
      <c r="F102" s="13" t="inlineStr">
        <is>
          <t>Wat: een kort formulier voor deelname + foto/video maken en laten checken door de docent.
Waarom: nodig vóór de eerste toets!</t>
        </is>
      </c>
      <c r="G102" s="12" t="inlineStr">
        <is>
          <t>Ethiek &amp; privacy</t>
        </is>
      </c>
      <c r="H102" s="12" t="n">
        <v>2</v>
      </c>
      <c r="I102" s="12" t="n"/>
      <c r="J102" s="14" t="n">
        <v>1.5</v>
      </c>
      <c r="K102" s="12" t="inlineStr">
        <is>
          <t>High</t>
        </is>
      </c>
      <c r="L102" s="13" t="n"/>
      <c r="M102" s="15" t="n">
        <v>46307</v>
      </c>
      <c r="N102" s="16" t="n"/>
      <c r="O102" s="12" t="inlineStr">
        <is>
          <t>To Do</t>
        </is>
      </c>
      <c r="P102" s="12" t="inlineStr">
        <is>
          <t>Ja</t>
        </is>
      </c>
      <c r="Q102" s="13" t="n"/>
    </row>
    <row r="103" ht="25.5" customHeight="1">
      <c r="A103" s="12" t="inlineStr">
        <is>
          <t>S2-32</t>
        </is>
      </c>
      <c r="B103" s="12" t="n">
        <v>107</v>
      </c>
      <c r="C103" s="12" t="n">
        <v>8</v>
      </c>
      <c r="D103" s="12" t="inlineStr">
        <is>
          <t>Task</t>
        </is>
      </c>
      <c r="E103" s="13" t="inlineStr">
        <is>
          <t>Stakeholderanalyse bijwerken</t>
        </is>
      </c>
      <c r="F103" s="13" t="inlineStr">
        <is>
          <t>Waarom: sinds sprint 1 zijn er nieuwe stakeholders bijgekomen (Infra/SD, open-dag-organisatie etc.), en de rubric wil zien dat we belangen + conflicten zichtbaar maken (PR3).
Nieuwe/veranderde stakeholders om te checken: Infra ('Hack je gek'), open-dag-organisatie, Arnoud (cijfers), Lectoraat iWDT, eerstejaars als testgroep, FabLab, etc.</t>
        </is>
      </c>
      <c r="G103" s="12" t="inlineStr">
        <is>
          <t>Stakeholders</t>
        </is>
      </c>
      <c r="H103" s="12" t="n">
        <v>2</v>
      </c>
      <c r="I103" s="12" t="n">
        <v>2</v>
      </c>
      <c r="J103" s="14" t="n"/>
      <c r="K103" s="12" t="inlineStr">
        <is>
          <t>Medium</t>
        </is>
      </c>
      <c r="L103" s="13" t="inlineStr">
        <is>
          <t>stakeholder pr3</t>
        </is>
      </c>
      <c r="M103" s="15" t="n">
        <v>46311</v>
      </c>
      <c r="N103" s="16" t="n"/>
      <c r="O103" s="12" t="inlineStr">
        <is>
          <t>To Do</t>
        </is>
      </c>
      <c r="P103" s="12" t="inlineStr">
        <is>
          <t>Ja</t>
        </is>
      </c>
      <c r="Q103" s="13" t="n"/>
    </row>
    <row r="104" ht="25.5" customHeight="1">
      <c r="A104" s="12" t="inlineStr">
        <is>
          <t>S2-32.1</t>
        </is>
      </c>
      <c r="B104" s="12" t="n">
        <v>108</v>
      </c>
      <c r="C104" s="12" t="n">
        <v>107</v>
      </c>
      <c r="D104" s="12" t="inlineStr">
        <is>
          <t>Sub-task</t>
        </is>
      </c>
      <c r="E104" s="17" t="inlineStr">
        <is>
          <t>Analyse bijwerken (belang, houding, macht/invloed, conflicten)</t>
        </is>
      </c>
      <c r="F104" s="13" t="inlineStr">
        <is>
          <t>Wat: per stakeholder belang, houding, macht/invloed en conflicten bijwerken.
Waarom: de analyse is van sprint 1 en klopt niet meer helemaal.</t>
        </is>
      </c>
      <c r="G104" s="12" t="inlineStr">
        <is>
          <t>Stakeholders</t>
        </is>
      </c>
      <c r="H104" s="12" t="n">
        <v>2</v>
      </c>
      <c r="I104" s="12" t="n"/>
      <c r="J104" s="14" t="n">
        <v>2</v>
      </c>
      <c r="K104" s="12" t="inlineStr">
        <is>
          <t>Medium</t>
        </is>
      </c>
      <c r="L104" s="13" t="n"/>
      <c r="M104" s="15" t="n">
        <v>46311</v>
      </c>
      <c r="N104" s="16" t="n"/>
      <c r="O104" s="12" t="inlineStr">
        <is>
          <t>To Do</t>
        </is>
      </c>
      <c r="P104" s="12" t="inlineStr">
        <is>
          <t>Ja</t>
        </is>
      </c>
      <c r="Q104" s="13" t="n"/>
    </row>
    <row r="105" ht="63.75" customHeight="1">
      <c r="A105" s="12" t="inlineStr">
        <is>
          <t>S2-32.2</t>
        </is>
      </c>
      <c r="B105" s="12" t="n">
        <v>109</v>
      </c>
      <c r="C105" s="12" t="n">
        <v>107</v>
      </c>
      <c r="D105" s="12" t="inlineStr">
        <is>
          <t>Sub-task</t>
        </is>
      </c>
      <c r="E105" s="17" t="inlineStr">
        <is>
          <t>Per belangrijk onderzoeksresultaat noteren welke stakeholder het raakt (PR3)</t>
        </is>
      </c>
      <c r="F105" s="13" t="inlineStr">
        <is>
          <t>Wat: bij elk belangrijk onderzoeksresultaat noteren welke stakeholder het raakt.
Waarom: koppeling belangen ↔ onderzoeksresultaten = PR3 voldoende.</t>
        </is>
      </c>
      <c r="G105" s="12" t="inlineStr">
        <is>
          <t>Stakeholders</t>
        </is>
      </c>
      <c r="H105" s="12" t="n">
        <v>2</v>
      </c>
      <c r="I105" s="12" t="n"/>
      <c r="J105" s="14" t="n">
        <v>1</v>
      </c>
      <c r="K105" s="12" t="inlineStr">
        <is>
          <t>Medium</t>
        </is>
      </c>
      <c r="L105" s="13" t="n"/>
      <c r="M105" s="15" t="n">
        <v>46311</v>
      </c>
      <c r="N105" s="16" t="n"/>
      <c r="O105" s="12" t="inlineStr">
        <is>
          <t>To Do</t>
        </is>
      </c>
      <c r="P105" s="12" t="inlineStr">
        <is>
          <t>Ja</t>
        </is>
      </c>
      <c r="Q105" s="13" t="n"/>
    </row>
    <row r="106" ht="25.5" customHeight="1">
      <c r="A106" s="12" t="inlineStr">
        <is>
          <t>S2-34</t>
        </is>
      </c>
      <c r="B106" s="12" t="n">
        <v>110</v>
      </c>
      <c r="C106" s="12" t="n">
        <v>8</v>
      </c>
      <c r="D106" s="12" t="inlineStr">
        <is>
          <t>Task</t>
        </is>
      </c>
      <c r="E106" s="13" t="inlineStr">
        <is>
          <t>Update aan opdrachtgever (DS2a)</t>
        </is>
      </c>
      <c r="F106" s="13" t="inlineStr">
        <is>
          <t>Wat: aan het eind van week 41 en 42 een korte update via Teams (wat gedaan, wat geleerd, wat volgt).
Waarom: de opdrachtgever verwacht dat wij zelf contact houden, niet alleen op de 4 geregelde momenten.</t>
        </is>
      </c>
      <c r="G106" s="12" t="inlineStr">
        <is>
          <t>Stakeholders</t>
        </is>
      </c>
      <c r="H106" s="12" t="n">
        <v>2</v>
      </c>
      <c r="I106" s="12" t="n">
        <v>1</v>
      </c>
      <c r="J106" s="14" t="n"/>
      <c r="K106" s="12" t="inlineStr">
        <is>
          <t>Medium</t>
        </is>
      </c>
      <c r="L106" s="13" t="inlineStr">
        <is>
          <t>stakeholder pr3</t>
        </is>
      </c>
      <c r="M106" s="15" t="n">
        <v>46311</v>
      </c>
      <c r="N106" s="16" t="n"/>
      <c r="O106" s="12" t="inlineStr">
        <is>
          <t>To Do</t>
        </is>
      </c>
      <c r="P106" s="12" t="inlineStr">
        <is>
          <t>Ja</t>
        </is>
      </c>
      <c r="Q106" s="13" t="n"/>
    </row>
    <row r="107" ht="25.5" customHeight="1">
      <c r="A107" s="12" t="inlineStr">
        <is>
          <t>S2-34.1</t>
        </is>
      </c>
      <c r="B107" s="12" t="n">
        <v>111</v>
      </c>
      <c r="C107" s="12" t="n">
        <v>110</v>
      </c>
      <c r="D107" s="12" t="inlineStr">
        <is>
          <t>Sub-task</t>
        </is>
      </c>
      <c r="E107" s="17" t="inlineStr">
        <is>
          <t>Update via Teams (wk 41 + 42)</t>
        </is>
      </c>
      <c r="F107" s="13" t="inlineStr">
        <is>
          <t>Wat: in week 41 en 42 een korte update via Teams sturen.
Waarom: opdrachtgever op de hoogte houden.</t>
        </is>
      </c>
      <c r="G107" s="12" t="inlineStr">
        <is>
          <t>Stakeholders</t>
        </is>
      </c>
      <c r="H107" s="12" t="n">
        <v>2</v>
      </c>
      <c r="I107" s="12" t="n"/>
      <c r="J107" s="14" t="n">
        <v>1</v>
      </c>
      <c r="K107" s="12" t="inlineStr">
        <is>
          <t>Medium</t>
        </is>
      </c>
      <c r="L107" s="13" t="n"/>
      <c r="M107" s="15" t="n">
        <v>46311</v>
      </c>
      <c r="N107" s="16" t="n"/>
      <c r="O107" s="12" t="inlineStr">
        <is>
          <t>To Do</t>
        </is>
      </c>
      <c r="P107" s="12" t="inlineStr">
        <is>
          <t>Ja</t>
        </is>
      </c>
      <c r="Q107" s="13" t="n"/>
    </row>
    <row r="108" ht="38.25" customHeight="1">
      <c r="A108" s="12" t="inlineStr">
        <is>
          <t>S2-35</t>
        </is>
      </c>
      <c r="B108" s="12" t="n">
        <v>112</v>
      </c>
      <c r="C108" s="12" t="n">
        <v>9</v>
      </c>
      <c r="D108" s="12" t="inlineStr">
        <is>
          <t>Task</t>
        </is>
      </c>
      <c r="E108" s="13" t="inlineStr">
        <is>
          <t>Design Rationale bijwerken t/m week 42</t>
        </is>
      </c>
      <c r="F108" s="13" t="inlineStr">
        <is>
          <t>Let op: vóór vakantie!
Waarom: de week-8-toets is do 29 okt, en de eerste werkdag na de vakantie is maar 3 dagen eerder. Dus de DR moet vóór de vakantie grotendeels staan (HARD DEADLINE)!</t>
        </is>
      </c>
      <c r="G108" s="12" t="inlineStr">
        <is>
          <t>Design Rationale &amp; week-8-toets</t>
        </is>
      </c>
      <c r="H108" s="12" t="n">
        <v>2</v>
      </c>
      <c r="I108" s="12" t="n">
        <v>5</v>
      </c>
      <c r="J108" s="14" t="n"/>
      <c r="K108" s="12" t="inlineStr">
        <is>
          <t>Highest</t>
        </is>
      </c>
      <c r="L108" s="13" t="inlineStr">
        <is>
          <t>documentatie del-designrationale pr1 pr4</t>
        </is>
      </c>
      <c r="M108" s="15" t="n">
        <v>46311</v>
      </c>
      <c r="N108" s="16" t="n"/>
      <c r="O108" s="12" t="inlineStr">
        <is>
          <t>To Do</t>
        </is>
      </c>
      <c r="P108" s="12" t="inlineStr">
        <is>
          <t>Ja</t>
        </is>
      </c>
      <c r="Q108" s="13" t="n"/>
    </row>
    <row r="109" ht="38.25" customHeight="1">
      <c r="A109" s="12" t="inlineStr">
        <is>
          <t>S2-35.1</t>
        </is>
      </c>
      <c r="B109" s="12" t="n">
        <v>113</v>
      </c>
      <c r="C109" s="12" t="n">
        <v>112</v>
      </c>
      <c r="D109" s="12" t="inlineStr">
        <is>
          <t>Sub-task</t>
        </is>
      </c>
      <c r="E109" s="17" t="inlineStr">
        <is>
          <t>Per week (35–42) een blok: vraag, aanpak, resultaat, beslissing, met namen</t>
        </is>
      </c>
      <c r="F109" s="13" t="inlineStr">
        <is>
          <t>Wat: voor elke week (35–42) een blok: vraag, aanpak, resultaat, beslissing, en wie wat deed.
Waarom: de DR is per week en per iteratie opgebouwd.</t>
        </is>
      </c>
      <c r="G109" s="12" t="inlineStr">
        <is>
          <t>Design Rationale &amp; week-8-toets</t>
        </is>
      </c>
      <c r="H109" s="12" t="n">
        <v>2</v>
      </c>
      <c r="I109" s="12" t="n"/>
      <c r="J109" s="14" t="n">
        <v>6</v>
      </c>
      <c r="K109" s="12" t="inlineStr">
        <is>
          <t>Highest</t>
        </is>
      </c>
      <c r="L109" s="13" t="n"/>
      <c r="M109" s="15" t="n">
        <v>46311</v>
      </c>
      <c r="N109" s="16" t="n"/>
      <c r="O109" s="12" t="inlineStr">
        <is>
          <t>To Do</t>
        </is>
      </c>
      <c r="P109" s="12" t="inlineStr">
        <is>
          <t>Ja</t>
        </is>
      </c>
      <c r="Q109" s="13" t="n"/>
    </row>
    <row r="110" ht="25.5" customHeight="1">
      <c r="A110" s="12" t="inlineStr">
        <is>
          <t>S2-35.2</t>
        </is>
      </c>
      <c r="B110" s="12" t="n">
        <v>114</v>
      </c>
      <c r="C110" s="12" t="n">
        <v>112</v>
      </c>
      <c r="D110" s="12" t="inlineStr">
        <is>
          <t>Sub-task</t>
        </is>
      </c>
      <c r="E110" s="17" t="inlineStr">
        <is>
          <t>Koppeling aan activiteitenplanning/Jira (screenshots board)</t>
        </is>
      </c>
      <c r="F110" s="13" t="inlineStr">
        <is>
          <t>Wat: koppelen aan de planning/Jira, met screenshots van het board.
Waarom: de DR moet een directe relatie hebben met de activiteitenplanning.</t>
        </is>
      </c>
      <c r="G110" s="12" t="inlineStr">
        <is>
          <t>Design Rationale &amp; week-8-toets</t>
        </is>
      </c>
      <c r="H110" s="12" t="n">
        <v>2</v>
      </c>
      <c r="I110" s="12" t="n"/>
      <c r="J110" s="14" t="n">
        <v>1</v>
      </c>
      <c r="K110" s="12" t="inlineStr">
        <is>
          <t>Highest</t>
        </is>
      </c>
      <c r="L110" s="13" t="n"/>
      <c r="M110" s="15" t="n">
        <v>46311</v>
      </c>
      <c r="N110" s="16" t="n"/>
      <c r="O110" s="12" t="inlineStr">
        <is>
          <t>To Do</t>
        </is>
      </c>
      <c r="P110" s="12" t="inlineStr">
        <is>
          <t>Ja</t>
        </is>
      </c>
      <c r="Q110" s="13" t="n"/>
    </row>
    <row r="111" ht="51" customHeight="1">
      <c r="A111" s="12" t="inlineStr">
        <is>
          <t>S2-35.3</t>
        </is>
      </c>
      <c r="B111" s="12" t="n">
        <v>115</v>
      </c>
      <c r="C111" s="12" t="n">
        <v>112</v>
      </c>
      <c r="D111" s="12" t="inlineStr">
        <is>
          <t>Sub-task</t>
        </is>
      </c>
      <c r="E111" s="17" t="inlineStr">
        <is>
          <t>Visuele rode draad (tijdlijn) opzetten</t>
        </is>
      </c>
      <c r="F111" s="13" t="inlineStr">
        <is>
          <t>Wat: de rode draad visueel maken (tijdlijn).
Waarom: de DR is een VISUELE weergave van het proces.</t>
        </is>
      </c>
      <c r="G111" s="12" t="inlineStr">
        <is>
          <t>Design Rationale &amp; week-8-toets</t>
        </is>
      </c>
      <c r="H111" s="12" t="n">
        <v>2</v>
      </c>
      <c r="I111" s="12" t="n"/>
      <c r="J111" s="14" t="n">
        <v>3</v>
      </c>
      <c r="K111" s="12" t="inlineStr">
        <is>
          <t>Highest</t>
        </is>
      </c>
      <c r="L111" s="13" t="n"/>
      <c r="M111" s="15" t="n">
        <v>46311</v>
      </c>
      <c r="N111" s="16" t="n"/>
      <c r="O111" s="12" t="inlineStr">
        <is>
          <t>To Do</t>
        </is>
      </c>
      <c r="P111" s="12" t="inlineStr">
        <is>
          <t>Ja</t>
        </is>
      </c>
      <c r="Q111" s="13" t="n"/>
    </row>
    <row r="112" ht="25.5" customHeight="1">
      <c r="A112" s="12" t="inlineStr">
        <is>
          <t>S2-42</t>
        </is>
      </c>
      <c r="B112" s="12" t="n">
        <v>116</v>
      </c>
      <c r="C112" s="12" t="n">
        <v>10</v>
      </c>
      <c r="D112" s="12" t="inlineStr">
        <is>
          <t>Task</t>
        </is>
      </c>
      <c r="E112" s="13" t="inlineStr">
        <is>
          <t>Beeldmateriaal DS2a</t>
        </is>
      </c>
      <c r="F112" s="13" t="inlineStr">
        <is>
          <t>Waarom: foto's van tussenproducten krijg je later NOOIT meer terug, en we hebben ze nodig voor de DR, poster, 3 beelden en de video.</t>
        </is>
      </c>
      <c r="G112" s="12" t="inlineStr">
        <is>
          <t>Beeldmateriaal (doorlopend)</t>
        </is>
      </c>
      <c r="H112" s="12" t="n">
        <v>2</v>
      </c>
      <c r="I112" s="12" t="n">
        <v>1</v>
      </c>
      <c r="J112" s="14" t="n"/>
      <c r="K112" s="12" t="inlineStr">
        <is>
          <t>Medium</t>
        </is>
      </c>
      <c r="L112" s="13" t="inlineStr">
        <is>
          <t>beeld del-beelden del-poster</t>
        </is>
      </c>
      <c r="M112" s="15" t="n">
        <v>46311</v>
      </c>
      <c r="N112" s="16" t="n"/>
      <c r="O112" s="12" t="inlineStr">
        <is>
          <t>To Do</t>
        </is>
      </c>
      <c r="P112" s="12" t="inlineStr">
        <is>
          <t>Ja</t>
        </is>
      </c>
      <c r="Q112" s="13" t="n"/>
    </row>
    <row r="113" ht="51" customHeight="1">
      <c r="A113" s="12" t="inlineStr">
        <is>
          <t>S2-42.1</t>
        </is>
      </c>
      <c r="B113" s="12" t="n">
        <v>117</v>
      </c>
      <c r="C113" s="12" t="n">
        <v>116</v>
      </c>
      <c r="D113" s="12" t="inlineStr">
        <is>
          <t>Sub-task</t>
        </is>
      </c>
      <c r="E113" s="17" t="inlineStr">
        <is>
          <t>Wk 41 + 42 elk ≥ 1 foto/screenshot (toetsmateriaal, concepttoets, beslismatrix), getagd *context / interactie / detail*</t>
        </is>
      </c>
      <c r="F113" s="13" t="inlineStr">
        <is>
          <t>Wat: in week 41 en 42 minstens één foto/screenshot per week (toetsmateriaal, toets, beslismatrix), getagd context/interactie/detail.
Waarom: tussenproducten krijg je later nooit meer terug.</t>
        </is>
      </c>
      <c r="G113" s="12" t="inlineStr">
        <is>
          <t>Beeldmateriaal (doorlopend)</t>
        </is>
      </c>
      <c r="H113" s="12" t="n">
        <v>2</v>
      </c>
      <c r="I113" s="12" t="n"/>
      <c r="J113" s="14" t="n">
        <v>1</v>
      </c>
      <c r="K113" s="12" t="inlineStr">
        <is>
          <t>Medium</t>
        </is>
      </c>
      <c r="L113" s="13" t="n"/>
      <c r="M113" s="15" t="n">
        <v>46311</v>
      </c>
      <c r="N113" s="16" t="n"/>
      <c r="O113" s="12" t="inlineStr">
        <is>
          <t>To Do</t>
        </is>
      </c>
      <c r="P113" s="12" t="inlineStr">
        <is>
          <t>Ja</t>
        </is>
      </c>
      <c r="Q113" s="13" t="n"/>
    </row>
    <row r="114" ht="25.5" customHeight="1"/>
    <row r="115" ht="38.25" customHeight="1"/>
    <row r="116" ht="25.5" customHeight="1"/>
    <row r="117" ht="25.5" customHeight="1"/>
    <row r="118" ht="38.25" customHeight="1"/>
  </sheetData>
  <autoFilter ref="A1:Q118"/>
  <dataValidations count="5">
    <dataValidation sqref="D2:D118" showDropDown="0" showInputMessage="0" showErrorMessage="0" allowBlank="1" type="list">
      <formula1>"Epic,Story,Task,Sub-task,Bug"</formula1>
    </dataValidation>
    <dataValidation sqref="H2:H118" showDropDown="0" showInputMessage="0" showErrorMessage="0" allowBlank="1" type="list">
      <formula1>"2"</formula1>
    </dataValidation>
    <dataValidation sqref="K2:K118" showDropDown="0" showInputMessage="0" showErrorMessage="0" allowBlank="1" type="list">
      <formula1>"Highest,High,Medium,Low,Lowest"</formula1>
    </dataValidation>
    <dataValidation sqref="O2:O118" showDropDown="0" showInputMessage="0" showErrorMessage="0" allowBlank="1" type="list">
      <formula1>"To Do,In Progress,Review,Done"</formula1>
    </dataValidation>
    <dataValidation sqref="P2:P118" showDropDown="0" showInputMessage="0" showErrorMessage="0" allowBlank="1" type="list">
      <formula1>"Ja,Nee"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25" sqref="C25"/>
    </sheetView>
  </sheetViews>
  <sheetFormatPr baseColWidth="8" defaultRowHeight="15"/>
  <cols>
    <col width="42" customWidth="1" min="1" max="1"/>
    <col width="14" customWidth="1" min="2" max="2"/>
    <col width="55" customWidth="1" min="3" max="3"/>
  </cols>
  <sheetData>
    <row r="1" ht="18" customHeight="1">
      <c r="A1" s="1" t="inlineStr">
        <is>
          <t>Overzicht designsprint 2</t>
        </is>
      </c>
    </row>
    <row r="2">
      <c r="A2" s="2" t="inlineStr">
        <is>
          <t>Alles wordt berekend uit Backlog; alleen rijen met 'Telt mee' = Ja tellen mee.</t>
        </is>
      </c>
    </row>
    <row r="4">
      <c r="A4" s="5" t="inlineStr">
        <is>
          <t>Epic</t>
        </is>
      </c>
      <c r="B4" s="5" t="inlineStr">
        <is>
          <t>Story Points</t>
        </is>
      </c>
      <c r="C4" s="5" t="inlineStr">
        <is>
          <t>Uren (sub-tasks)</t>
        </is>
      </c>
    </row>
    <row r="5">
      <c r="A5" s="3" t="inlineStr">
        <is>
          <t>Sprint 1 afronden &amp; openstaande actiepunten</t>
        </is>
      </c>
      <c r="B5" s="3">
        <f>SUMIFS(Backlog!$I:$I,Backlog!$G:$G,$A5,Backlog!$P:$P,"Ja")</f>
        <v/>
      </c>
      <c r="C5" s="18">
        <f>SUMIFS(Backlog!$J:$J,Backlog!$G:$G,$A5,Backlog!$P:$P,"Ja")</f>
        <v/>
      </c>
    </row>
    <row r="6">
      <c r="A6" s="3" t="inlineStr">
        <is>
          <t>Proces &amp; Jira</t>
        </is>
      </c>
      <c r="B6" s="3">
        <f>SUMIFS(Backlog!$I:$I,Backlog!$G:$G,$A6,Backlog!$P:$P,"Ja")</f>
        <v/>
      </c>
      <c r="C6" s="18">
        <f>SUMIFS(Backlog!$J:$J,Backlog!$G:$G,$A6,Backlog!$P:$P,"Ja")</f>
        <v/>
      </c>
    </row>
    <row r="7">
      <c r="A7" s="3" t="inlineStr">
        <is>
          <t>Doelgroeponderzoek &amp; concepttoets</t>
        </is>
      </c>
      <c r="B7" s="3">
        <f>SUMIFS(Backlog!$I:$I,Backlog!$G:$G,$A7,Backlog!$P:$P,"Ja")</f>
        <v/>
      </c>
      <c r="C7" s="18">
        <f>SUMIFS(Backlog!$J:$J,Backlog!$G:$G,$A7,Backlog!$P:$P,"Ja")</f>
        <v/>
      </c>
    </row>
    <row r="8">
      <c r="A8" s="3" t="inlineStr">
        <is>
          <t>Conceptkeuze</t>
        </is>
      </c>
      <c r="B8" s="3">
        <f>SUMIFS(Backlog!$I:$I,Backlog!$G:$G,$A8,Backlog!$P:$P,"Ja")</f>
        <v/>
      </c>
      <c r="C8" s="18">
        <f>SUMIFS(Backlog!$J:$J,Backlog!$G:$G,$A8,Backlog!$P:$P,"Ja")</f>
        <v/>
      </c>
    </row>
    <row r="9">
      <c r="A9" s="3" t="inlineStr">
        <is>
          <t>Gekozen concept uitwerken</t>
        </is>
      </c>
      <c r="B9" s="3">
        <f>SUMIFS(Backlog!$I:$I,Backlog!$G:$G,$A9,Backlog!$P:$P,"Ja")</f>
        <v/>
      </c>
      <c r="C9" s="18">
        <f>SUMIFS(Backlog!$J:$J,Backlog!$G:$G,$A9,Backlog!$P:$P,"Ja")</f>
        <v/>
      </c>
    </row>
    <row r="10">
      <c r="A10" s="3" t="inlineStr">
        <is>
          <t>Haalbaarheid &amp; prototype v1 bouwen</t>
        </is>
      </c>
      <c r="B10" s="3">
        <f>SUMIFS(Backlog!$I:$I,Backlog!$G:$G,$A10,Backlog!$P:$P,"Ja")</f>
        <v/>
      </c>
      <c r="C10" s="18">
        <f>SUMIFS(Backlog!$J:$J,Backlog!$G:$G,$A10,Backlog!$P:$P,"Ja")</f>
        <v/>
      </c>
    </row>
    <row r="11">
      <c r="A11" s="3" t="inlineStr">
        <is>
          <t>Ethiek &amp; privacy</t>
        </is>
      </c>
      <c r="B11" s="3">
        <f>SUMIFS(Backlog!$I:$I,Backlog!$G:$G,$A11,Backlog!$P:$P,"Ja")</f>
        <v/>
      </c>
      <c r="C11" s="18">
        <f>SUMIFS(Backlog!$J:$J,Backlog!$G:$G,$A11,Backlog!$P:$P,"Ja")</f>
        <v/>
      </c>
    </row>
    <row r="12">
      <c r="A12" s="3" t="inlineStr">
        <is>
          <t>Stakeholders</t>
        </is>
      </c>
      <c r="B12" s="3">
        <f>SUMIFS(Backlog!$I:$I,Backlog!$G:$G,$A12,Backlog!$P:$P,"Ja")</f>
        <v/>
      </c>
      <c r="C12" s="18">
        <f>SUMIFS(Backlog!$J:$J,Backlog!$G:$G,$A12,Backlog!$P:$P,"Ja")</f>
        <v/>
      </c>
    </row>
    <row r="13">
      <c r="A13" s="3" t="inlineStr">
        <is>
          <t>Design Rationale &amp; week-8-toets</t>
        </is>
      </c>
      <c r="B13" s="3">
        <f>SUMIFS(Backlog!$I:$I,Backlog!$G:$G,$A13,Backlog!$P:$P,"Ja")</f>
        <v/>
      </c>
      <c r="C13" s="18">
        <f>SUMIFS(Backlog!$J:$J,Backlog!$G:$G,$A13,Backlog!$P:$P,"Ja")</f>
        <v/>
      </c>
    </row>
    <row r="14">
      <c r="A14" s="3" t="inlineStr">
        <is>
          <t>Beeldmateriaal (doorlopend)</t>
        </is>
      </c>
      <c r="B14" s="3">
        <f>SUMIFS(Backlog!$I:$I,Backlog!$G:$G,$A14,Backlog!$P:$P,"Ja")</f>
        <v/>
      </c>
      <c r="C14" s="18">
        <f>SUMIFS(Backlog!$J:$J,Backlog!$G:$G,$A14,Backlog!$P:$P,"Ja")</f>
        <v/>
      </c>
    </row>
    <row r="15">
      <c r="A15" s="4" t="inlineStr">
        <is>
          <t>Totaal</t>
        </is>
      </c>
      <c r="B15" s="4">
        <f>SUM(B5:B14)</f>
        <v/>
      </c>
      <c r="C15" s="19">
        <f>SUM(C5:C14)</f>
        <v/>
      </c>
    </row>
    <row r="17">
      <c r="A17" s="5" t="inlineStr">
        <is>
          <t>Capaciteit DS2a (gele cellen aanpassen)</t>
        </is>
      </c>
      <c r="B17" s="5" t="n"/>
      <c r="C17" s="5" t="n"/>
    </row>
    <row r="18">
      <c r="A18" s="3" t="inlineStr">
        <is>
          <t>Aantal personen</t>
        </is>
      </c>
      <c r="B18" s="20" t="n">
        <v>4</v>
      </c>
      <c r="C18" s="2" t="inlineStr">
        <is>
          <t>Teamleden</t>
        </is>
      </c>
    </row>
    <row r="19">
      <c r="A19" s="3" t="inlineStr">
        <is>
          <t>Projecturen per persoon per week</t>
        </is>
      </c>
      <c r="B19" s="20" t="n">
        <v>16</v>
      </c>
      <c r="C19" s="2" t="inlineStr">
        <is>
          <t>Aanname! Nog samen vaststellen (uitgeggaan van din/don)</t>
        </is>
      </c>
    </row>
    <row r="20">
      <c r="A20" s="3" t="inlineStr">
        <is>
          <t>Buffer-factor</t>
        </is>
      </c>
      <c r="B20" s="20" t="n">
        <v>0.8</v>
      </c>
      <c r="C20" s="2" t="inlineStr">
        <is>
          <t>Ruimte voor ziekte, uitloop, onverwachte dingen etc.</t>
        </is>
      </c>
    </row>
    <row r="21">
      <c r="A21" s="3" t="inlineStr">
        <is>
          <t>Werkweken DS2a</t>
        </is>
      </c>
      <c r="B21" s="20" t="n">
        <v>2</v>
      </c>
      <c r="C21" s="2" t="inlineStr">
        <is>
          <t>Week 41 en 42 (ma 5 okt – vr 16 okt)</t>
        </is>
      </c>
    </row>
    <row r="22">
      <c r="A22" s="4" t="inlineStr">
        <is>
          <t>Beschikbare uren</t>
        </is>
      </c>
      <c r="B22" s="21">
        <f>B18*B19*B20*B21</f>
        <v/>
      </c>
    </row>
    <row r="23">
      <c r="A23" s="4" t="inlineStr">
        <is>
          <t>Gepland (uren)</t>
        </is>
      </c>
      <c r="B23" s="21">
        <f>C15</f>
        <v/>
      </c>
    </row>
    <row r="24">
      <c r="A24" s="4" t="inlineStr">
        <is>
          <t>Verschil (negatief = te vol)</t>
        </is>
      </c>
      <c r="B24" s="21">
        <f>B22-B23</f>
        <v/>
      </c>
      <c r="C24" s="2" t="inlineStr">
        <is>
          <t>Ok omdat..you know, er is een tweede helft.)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B14" sqref="B14"/>
    </sheetView>
  </sheetViews>
  <sheetFormatPr baseColWidth="8" defaultRowHeight="15"/>
  <cols>
    <col width="16" customWidth="1" min="1" max="1"/>
    <col width="70" customWidth="1" min="2" max="2"/>
    <col width="60" customWidth="1" min="3" max="3"/>
  </cols>
  <sheetData>
    <row r="1">
      <c r="A1" s="5" t="inlineStr">
        <is>
          <t>Groep</t>
        </is>
      </c>
      <c r="B1" s="5" t="inlineStr">
        <is>
          <t>Labels</t>
        </is>
      </c>
      <c r="C1" s="5" t="inlineStr">
        <is>
          <t>Gebruik</t>
        </is>
      </c>
    </row>
    <row r="2" ht="25.5" customHeight="1">
      <c r="A2" s="22" t="inlineStr">
        <is>
          <t>Werksoort</t>
        </is>
      </c>
      <c r="B2" s="22" t="inlineStr">
        <is>
          <t>onderzoek · ontwerp · prototype · test · documentatie · stakeholder · proces · beeld</t>
        </is>
      </c>
      <c r="C2" s="22" t="inlineStr">
        <is>
          <t>Wat voor werk is het?</t>
        </is>
      </c>
    </row>
    <row r="3" ht="25.5" customHeight="1">
      <c r="A3" s="22" t="inlineStr">
        <is>
          <t>Deelvraag</t>
        </is>
      </c>
      <c r="B3" s="22" t="inlineStr">
        <is>
          <t>deelvraag-1 · deelvraag-2 · deelvraag-3 · deelvraag-4 · deelvraag-5</t>
        </is>
      </c>
      <c r="C3" s="22" t="inlineStr">
        <is>
          <t>Koppeling aan de 5 deelvragen uit het onderzoeksplan (v0.6) = rode draad</t>
        </is>
      </c>
    </row>
    <row r="4">
      <c r="A4" s="22" t="inlineStr">
        <is>
          <t>Ethiek</t>
        </is>
      </c>
      <c r="B4" s="22" t="inlineStr">
        <is>
          <t>ethiek</t>
        </is>
      </c>
      <c r="C4" s="22" t="inlineStr">
        <is>
          <t>Ethiek &amp; privacy (eigen hoofdstuk in het plan, geen deelvraag)</t>
        </is>
      </c>
    </row>
    <row r="5">
      <c r="A5" s="22" t="inlineStr">
        <is>
          <t>Concept</t>
        </is>
      </c>
      <c r="B5" s="22" t="inlineStr">
        <is>
          <t>concept-trein · concept-aihuisdier · concept-biometrie · concept-algemeen</t>
        </is>
      </c>
      <c r="C5" s="22" t="inlineStr">
        <is>
          <t>Welk concept? (na het beslismoment meteen zichtbaar)</t>
        </is>
      </c>
    </row>
    <row r="6">
      <c r="A6" s="22" t="inlineStr">
        <is>
          <t>Doelgroep</t>
        </is>
      </c>
      <c r="B6" s="22" t="inlineStr">
        <is>
          <t>mbo · havo-vwo · propedeuse</t>
        </is>
      </c>
      <c r="C6" s="22" t="inlineStr">
        <is>
          <t>Voor welke doelgroep?</t>
        </is>
      </c>
    </row>
    <row r="7">
      <c r="A7" s="22" t="inlineStr">
        <is>
          <t>Contactmoment</t>
        </is>
      </c>
      <c r="B7" s="22" t="inlineStr">
        <is>
          <t>schoolvoorlichting · open-dag · proefstuderen · keuzemoment</t>
        </is>
      </c>
      <c r="C7" s="22" t="inlineStr">
        <is>
          <t>Voor welk contactmoment?</t>
        </is>
      </c>
    </row>
    <row r="8">
      <c r="A8" s="22" t="inlineStr">
        <is>
          <t>Rubric</t>
        </is>
      </c>
      <c r="B8" s="22" t="inlineStr">
        <is>
          <t>pr1 · pr2 · pr3 · pr4 · op1 · op2 · op3</t>
        </is>
      </c>
      <c r="C8" s="22" t="inlineStr">
        <is>
          <t>Welk rubric-criterium bewijst dit ticket? (handig voor de DR!)</t>
        </is>
      </c>
    </row>
    <row r="9">
      <c r="A9" s="22" t="inlineStr">
        <is>
          <t>Eindterm</t>
        </is>
      </c>
      <c r="B9" s="22" t="inlineStr">
        <is>
          <t>et1-kennis · et2-oordeel · et3-communicatie</t>
        </is>
      </c>
      <c r="C9" s="22" t="inlineStr">
        <is>
          <t>Dublin-descriptoren</t>
        </is>
      </c>
    </row>
    <row r="10" ht="25.5" customHeight="1">
      <c r="A10" s="22" t="inlineStr">
        <is>
          <t>Deliverable</t>
        </is>
      </c>
      <c r="B10" s="22" t="inlineStr">
        <is>
          <t>del-designrationale · del-prototype · del-video · del-poster · del-beelden · del-projectbeschrijving</t>
        </is>
      </c>
      <c r="C10" s="22" t="inlineStr">
        <is>
          <t>Werk dat direct in een (eind)deliverable komt</t>
        </is>
      </c>
    </row>
    <row r="11">
      <c r="A11" s="22" t="inlineStr">
        <is>
          <t>Status-extra</t>
        </is>
      </c>
      <c r="B11" s="22" t="inlineStr">
        <is>
          <t>blocked-extern · stretch · individueel</t>
        </is>
      </c>
      <c r="C11" s="22" t="inlineStr">
        <is>
          <t>Wachten op extern · alleen als er tijd over is · telt individueel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2026-10-04T18:13:59Z</dcterms:created>
  <dcterms:modified xmlns:dcterms="http://purl.org/dc/terms/" xmlns:xsi="http://www.w3.org/2001/XMLSchema-instance" xsi:type="dcterms:W3CDTF">2026-10-04T19:07:41Z</dcterms:modified>
  <cp:lastModifiedBy>Jae Dreijling (student)</cp:lastModifiedBy>
</cp:coreProperties>
</file>